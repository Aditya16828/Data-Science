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Developer\Live-Case-Studies_DS\LiveCaseStudy2 (Uber)\"/>
    </mc:Choice>
  </mc:AlternateContent>
  <xr:revisionPtr revIDLastSave="0" documentId="13_ncr:1_{9FA7C472-D73F-4DB2-B619-DA5565A23AB2}" xr6:coauthVersionLast="47" xr6:coauthVersionMax="47" xr10:uidLastSave="{00000000-0000-0000-0000-000000000000}"/>
  <bookViews>
    <workbookView xWindow="9795" yWindow="2385" windowWidth="16980" windowHeight="11385" xr2:uid="{00000000-000D-0000-FFFF-FFFF00000000}"/>
  </bookViews>
  <sheets>
    <sheet name="Sheet2" sheetId="2" r:id="rId1"/>
    <sheet name="Sheet1" sheetId="1" r:id="rId2"/>
  </sheets>
  <calcPr calcId="191029"/>
  <pivotCaches>
    <pivotCache cacheId="3" r:id="rId3"/>
  </pivotCaches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3" i="1"/>
  <c r="N15" i="1"/>
  <c r="N4" i="1"/>
  <c r="N5" i="1"/>
  <c r="N6" i="1"/>
  <c r="N7" i="1"/>
  <c r="N8" i="1"/>
  <c r="N9" i="1"/>
  <c r="N10" i="1"/>
  <c r="N11" i="1"/>
  <c r="N12" i="1"/>
  <c r="N13" i="1"/>
  <c r="N14" i="1"/>
  <c r="N3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2" i="1"/>
</calcChain>
</file>

<file path=xl/sharedStrings.xml><?xml version="1.0" encoding="utf-8"?>
<sst xmlns="http://schemas.openxmlformats.org/spreadsheetml/2006/main" count="3867" uniqueCount="246">
  <si>
    <t>START_DATE</t>
  </si>
  <si>
    <t>END_DATE</t>
  </si>
  <si>
    <t>CATEGORY</t>
  </si>
  <si>
    <t>START</t>
  </si>
  <si>
    <t>STOP</t>
  </si>
  <si>
    <t>MILES</t>
  </si>
  <si>
    <t>PURPOSE</t>
  </si>
  <si>
    <t>Business</t>
  </si>
  <si>
    <t>Fort Pierce</t>
  </si>
  <si>
    <t>Meal/Entertain</t>
  </si>
  <si>
    <t>Errand/Supplies</t>
  </si>
  <si>
    <t>Meeting</t>
  </si>
  <si>
    <t>West Palm Beach</t>
  </si>
  <si>
    <t>Customer Visit</t>
  </si>
  <si>
    <t>Palm Beach</t>
  </si>
  <si>
    <t>Cary</t>
  </si>
  <si>
    <t>Morrisville</t>
  </si>
  <si>
    <t>Jamaica</t>
  </si>
  <si>
    <t>New York</t>
  </si>
  <si>
    <t>Queens</t>
  </si>
  <si>
    <t>Elmhurst</t>
  </si>
  <si>
    <t>Midtown</t>
  </si>
  <si>
    <t>East Harlem</t>
  </si>
  <si>
    <t>NoMad</t>
  </si>
  <si>
    <t>Temporary Site</t>
  </si>
  <si>
    <t>Flatiron District</t>
  </si>
  <si>
    <t>Midtown East</t>
  </si>
  <si>
    <t>Hudson Square</t>
  </si>
  <si>
    <t>Lower Manhattan</t>
  </si>
  <si>
    <t>Hell's Kitchen</t>
  </si>
  <si>
    <t>Queens County</t>
  </si>
  <si>
    <t>Downtown</t>
  </si>
  <si>
    <t>Gulfton</t>
  </si>
  <si>
    <t>Houston</t>
  </si>
  <si>
    <t>Eagan Park</t>
  </si>
  <si>
    <t>Jamestown Court</t>
  </si>
  <si>
    <t>Durham</t>
  </si>
  <si>
    <t>Farmington Woods</t>
  </si>
  <si>
    <t>Whitebridge</t>
  </si>
  <si>
    <t>Lake Wellingborough</t>
  </si>
  <si>
    <t>Raleigh</t>
  </si>
  <si>
    <t>Fayetteville Street</t>
  </si>
  <si>
    <t>Umstead</t>
  </si>
  <si>
    <t>Hazelwood</t>
  </si>
  <si>
    <t>Westpark Place</t>
  </si>
  <si>
    <t>Fairmont</t>
  </si>
  <si>
    <t>Meredith Townes</t>
  </si>
  <si>
    <t>Leesville Hollow</t>
  </si>
  <si>
    <t>Apex</t>
  </si>
  <si>
    <t>Chapel Hill</t>
  </si>
  <si>
    <t>Northwoods</t>
  </si>
  <si>
    <t>Williamsburg Manor</t>
  </si>
  <si>
    <t>Macgregor Downs</t>
  </si>
  <si>
    <t>Between Offices</t>
  </si>
  <si>
    <t>Edgehill Farms</t>
  </si>
  <si>
    <t>Personal</t>
  </si>
  <si>
    <t>Tanglewood</t>
  </si>
  <si>
    <t>Preston</t>
  </si>
  <si>
    <t>Eastgate</t>
  </si>
  <si>
    <t>Walnut Terrace</t>
  </si>
  <si>
    <t>East Elmhurst</t>
  </si>
  <si>
    <t>Jackson Heights</t>
  </si>
  <si>
    <t>Midtown West</t>
  </si>
  <si>
    <t>Long Island City</t>
  </si>
  <si>
    <t>Katunayaka</t>
  </si>
  <si>
    <t>Unknown Location</t>
  </si>
  <si>
    <t>Colombo</t>
  </si>
  <si>
    <t>Nugegoda</t>
  </si>
  <si>
    <t>Islamabad</t>
  </si>
  <si>
    <t>R?walpindi</t>
  </si>
  <si>
    <t>Noorpur Shahan</t>
  </si>
  <si>
    <t>Heritage Pines</t>
  </si>
  <si>
    <t>Waverly Place</t>
  </si>
  <si>
    <t>Wayne Ridge</t>
  </si>
  <si>
    <t>Depot Historic District</t>
  </si>
  <si>
    <t>Weston</t>
  </si>
  <si>
    <t>East Austin</t>
  </si>
  <si>
    <t>West University</t>
  </si>
  <si>
    <t>South Congress</t>
  </si>
  <si>
    <t>Arts District</t>
  </si>
  <si>
    <t>The Drag</t>
  </si>
  <si>
    <t>Congress Ave District</t>
  </si>
  <si>
    <t>Red River District</t>
  </si>
  <si>
    <t>Convention Center District</t>
  </si>
  <si>
    <t>North Austin</t>
  </si>
  <si>
    <t>Georgian Acres</t>
  </si>
  <si>
    <t>Coxville</t>
  </si>
  <si>
    <t>Austin</t>
  </si>
  <si>
    <t>Katy</t>
  </si>
  <si>
    <t>Alief</t>
  </si>
  <si>
    <t>Sharpstown</t>
  </si>
  <si>
    <t>Sugar Land</t>
  </si>
  <si>
    <t>Galveston</t>
  </si>
  <si>
    <t>Port Bolivar</t>
  </si>
  <si>
    <t>Washington Avenue</t>
  </si>
  <si>
    <t>Briar Meadow</t>
  </si>
  <si>
    <t>Greater Greenspoint</t>
  </si>
  <si>
    <t>Latta</t>
  </si>
  <si>
    <t>Jacksonville</t>
  </si>
  <si>
    <t>Kissimmee</t>
  </si>
  <si>
    <t>Couples Glen</t>
  </si>
  <si>
    <t>Isles of Buena Vista</t>
  </si>
  <si>
    <t>Orlando</t>
  </si>
  <si>
    <t>Lake Reams</t>
  </si>
  <si>
    <t>Vista East</t>
  </si>
  <si>
    <t>Sand Lake Commons</t>
  </si>
  <si>
    <t>Sky Lake</t>
  </si>
  <si>
    <t>Daytona Beach</t>
  </si>
  <si>
    <t>Ridgeland</t>
  </si>
  <si>
    <t>Florence</t>
  </si>
  <si>
    <t>Meredith</t>
  </si>
  <si>
    <t>Cedar Hill</t>
  </si>
  <si>
    <t>Holly Springs</t>
  </si>
  <si>
    <t>Harden Place</t>
  </si>
  <si>
    <t>Chessington</t>
  </si>
  <si>
    <t>Burtrose</t>
  </si>
  <si>
    <t>Parkway</t>
  </si>
  <si>
    <t>Mcvan</t>
  </si>
  <si>
    <t>Capitol One</t>
  </si>
  <si>
    <t>University District</t>
  </si>
  <si>
    <t>Seattle</t>
  </si>
  <si>
    <t>Redmond</t>
  </si>
  <si>
    <t>Bellevue</t>
  </si>
  <si>
    <t>San Francisco</t>
  </si>
  <si>
    <t>Palo Alto</t>
  </si>
  <si>
    <t>Sunnyvale</t>
  </si>
  <si>
    <t>Newark</t>
  </si>
  <si>
    <t>Menlo Park</t>
  </si>
  <si>
    <t>Old City</t>
  </si>
  <si>
    <t>Parkway Museums</t>
  </si>
  <si>
    <t>Hog Island</t>
  </si>
  <si>
    <t>Savon Height</t>
  </si>
  <si>
    <t>Kildaire Farms</t>
  </si>
  <si>
    <t>Kilarney Woods</t>
  </si>
  <si>
    <t>Townes at Everett Crossing</t>
  </si>
  <si>
    <t>Huntington Woods</t>
  </si>
  <si>
    <t>Seaport</t>
  </si>
  <si>
    <t>Gramercy-Flatiron</t>
  </si>
  <si>
    <t>Medical Centre</t>
  </si>
  <si>
    <t>Tudor City</t>
  </si>
  <si>
    <t>Rose Hill</t>
  </si>
  <si>
    <t>Soho</t>
  </si>
  <si>
    <t>Tribeca</t>
  </si>
  <si>
    <t>Financial District</t>
  </si>
  <si>
    <t>Kips Bay</t>
  </si>
  <si>
    <t>Oakland</t>
  </si>
  <si>
    <t>Emeryville</t>
  </si>
  <si>
    <t>Berkeley</t>
  </si>
  <si>
    <t>Bay Farm Island</t>
  </si>
  <si>
    <t>Kenner</t>
  </si>
  <si>
    <t>New Orleans</t>
  </si>
  <si>
    <t>CBD</t>
  </si>
  <si>
    <t>Lower Garden District</t>
  </si>
  <si>
    <t>Lakeview</t>
  </si>
  <si>
    <t>Storyville</t>
  </si>
  <si>
    <t>Faubourg Marigny</t>
  </si>
  <si>
    <t>Metairie</t>
  </si>
  <si>
    <t>Bywater</t>
  </si>
  <si>
    <t>Chalmette</t>
  </si>
  <si>
    <t>Arabi</t>
  </si>
  <si>
    <t>Pontchartrain Shores</t>
  </si>
  <si>
    <t>Marigny</t>
  </si>
  <si>
    <t>Covington</t>
  </si>
  <si>
    <t>Mandeville</t>
  </si>
  <si>
    <t>Summerwinds</t>
  </si>
  <si>
    <t>Parkwood</t>
  </si>
  <si>
    <t>Pontchartrain Beach</t>
  </si>
  <si>
    <t>St Thomas</t>
  </si>
  <si>
    <t>Banner Elk</t>
  </si>
  <si>
    <t>Elk Park</t>
  </si>
  <si>
    <t>Newland</t>
  </si>
  <si>
    <t>Boone</t>
  </si>
  <si>
    <t>Charity ($)</t>
  </si>
  <si>
    <t>Commute</t>
  </si>
  <si>
    <t>Moving</t>
  </si>
  <si>
    <t>Stonewater</t>
  </si>
  <si>
    <t>Lexington Park at Amberly</t>
  </si>
  <si>
    <t>Arlington Park at Amberly</t>
  </si>
  <si>
    <t>Arlington</t>
  </si>
  <si>
    <t>Washington</t>
  </si>
  <si>
    <t>Kalorama Triangle</t>
  </si>
  <si>
    <t>K Street</t>
  </si>
  <si>
    <t>West End</t>
  </si>
  <si>
    <t>Northwest Rectangle</t>
  </si>
  <si>
    <t>Connecticut Avenue</t>
  </si>
  <si>
    <t>Columbia Heights</t>
  </si>
  <si>
    <t>Wake Forest</t>
  </si>
  <si>
    <t>Lahore</t>
  </si>
  <si>
    <t>Karachi</t>
  </si>
  <si>
    <t>SOMISSPO</t>
  </si>
  <si>
    <t>French Quarter</t>
  </si>
  <si>
    <t>West Berkeley</t>
  </si>
  <si>
    <t>North Berkeley Hills</t>
  </si>
  <si>
    <t>Southside</t>
  </si>
  <si>
    <t>San Jose</t>
  </si>
  <si>
    <t>Eagle Rock</t>
  </si>
  <si>
    <t>Winston Salem</t>
  </si>
  <si>
    <t>Asheville</t>
  </si>
  <si>
    <t>Topton</t>
  </si>
  <si>
    <t>Hayesville</t>
  </si>
  <si>
    <t>Bryson City</t>
  </si>
  <si>
    <t>Almond</t>
  </si>
  <si>
    <t>Mebane</t>
  </si>
  <si>
    <t>Santa Clara</t>
  </si>
  <si>
    <t>Agnew</t>
  </si>
  <si>
    <t>Cory</t>
  </si>
  <si>
    <t>Renaissance</t>
  </si>
  <si>
    <t>Central</t>
  </si>
  <si>
    <t>NOMA</t>
  </si>
  <si>
    <t>Sunnyside</t>
  </si>
  <si>
    <t>Ingleside</t>
  </si>
  <si>
    <t>Potrero Flats</t>
  </si>
  <si>
    <t>Tenderloin</t>
  </si>
  <si>
    <t>College Avenue</t>
  </si>
  <si>
    <t>South</t>
  </si>
  <si>
    <t>Southwest Berkeley</t>
  </si>
  <si>
    <t>South Berkeley</t>
  </si>
  <si>
    <t>Mountain View</t>
  </si>
  <si>
    <t>El Cerrito</t>
  </si>
  <si>
    <t>Krendle Woods</t>
  </si>
  <si>
    <t>Wake Co.</t>
  </si>
  <si>
    <t>Fuquay-Varina</t>
  </si>
  <si>
    <t>Rawalpindi</t>
  </si>
  <si>
    <t>Kar?chi</t>
  </si>
  <si>
    <t>Airport/Travel</t>
  </si>
  <si>
    <t>Katunayake</t>
  </si>
  <si>
    <t>Gampaha</t>
  </si>
  <si>
    <t>Ilukwatta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</si>
  <si>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</si>
  <si>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</si>
  <si>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</si>
  <si>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</si>
  <si>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</si>
  <si>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</si>
  <si>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</si>
  <si>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</si>
  <si>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</si>
  <si>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</si>
  <si>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</si>
  <si>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</si>
  <si>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START_DATE_MONTH</t>
  </si>
  <si>
    <t>END_DATE_MONTH</t>
  </si>
  <si>
    <t>INDEX</t>
  </si>
  <si>
    <t>Row Labels</t>
  </si>
  <si>
    <t>Grand Total</t>
  </si>
  <si>
    <t>Average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</si>
</sst>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MUKHERJEE" refreshedDate="44939.987726388892" createdVersion="8" refreshedVersion="8" minRefreshableVersion="3" recordCount="1069" xr:uid="{68C25821-E9CD-413F-BE61-F2D56FC37085}">
  <cacheSource type="worksheet">
    <worksheetSource name="Table1"/>
  </cacheSource>
  <cacheFields count="10">
    <cacheField name="INDEX" numFmtId="0">
      <sharedItems containsSemiMixedTypes="0" containsString="0" containsNumber="1" containsInteger="1" minValue="0" maxValue="1154"/>
    </cacheField>
    <cacheField name="START_DATE" numFmtId="165">
      <sharedItems containsSemiMixedTypes="0" containsNonDate="0" containsDate="1" containsString="0" minDate="2016-01-01T21:11:00" maxDate="2016-12-31T22:08:00"/>
    </cacheField>
    <cacheField name="START_DATE_MONTH" numFmtId="165">
      <sharedItems count="12"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END_DATE" numFmtId="165">
      <sharedItems containsSemiMixedTypes="0" containsNonDate="0" containsDate="1" containsString="0" minDate="2016-01-01T21:17:00" maxDate="2016-12-31T23:51:00"/>
    </cacheField>
    <cacheField name="END_DATE_MONTH" numFmtId="165">
      <sharedItems/>
    </cacheField>
    <cacheField name="CATEGORY" numFmtId="0">
      <sharedItems/>
    </cacheField>
    <cacheField name="START" numFmtId="0">
      <sharedItems/>
    </cacheField>
    <cacheField name="STOP" numFmtId="0">
      <sharedItems/>
    </cacheField>
    <cacheField name="MILES" numFmtId="0">
      <sharedItems containsSemiMixedTypes="0" containsString="0" containsNumber="1" minValue="0.5" maxValue="310.3"/>
    </cacheField>
    <cacheField name="PURPOS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9">
  <r>
    <n v="0"/>
    <d v="2016-01-01T21:11:00"/>
    <x v="0"/>
    <d v="2016-01-01T21:17:00"/>
    <s v="01"/>
    <s v="Business"/>
    <s v="Fort Pierce"/>
    <s v="Fort Pierce"/>
    <n v="5.0999999999999996"/>
    <s v="Meal/Entertain"/>
  </r>
  <r>
    <n v="1"/>
    <d v="2016-01-02T01:25:00"/>
    <x v="0"/>
    <d v="2016-01-02T01:37:00"/>
    <s v="01"/>
    <s v="Business"/>
    <s v="Fort Pierce"/>
    <s v="Fort Pierce"/>
    <n v="5"/>
    <m/>
  </r>
  <r>
    <n v="2"/>
    <d v="2016-01-02T20:25:00"/>
    <x v="0"/>
    <d v="2016-01-02T20:38:00"/>
    <s v="01"/>
    <s v="Business"/>
    <s v="Fort Pierce"/>
    <s v="Fort Pierce"/>
    <n v="4.8"/>
    <s v="Errand/Supplies"/>
  </r>
  <r>
    <n v="3"/>
    <d v="2016-01-05T17:31:00"/>
    <x v="0"/>
    <d v="2016-01-05T17:45:00"/>
    <s v="01"/>
    <s v="Business"/>
    <s v="Fort Pierce"/>
    <s v="Fort Pierce"/>
    <n v="4.7"/>
    <s v="Meeting"/>
  </r>
  <r>
    <n v="4"/>
    <d v="2016-01-06T14:42:00"/>
    <x v="0"/>
    <d v="2016-01-06T15:49:00"/>
    <s v="01"/>
    <s v="Business"/>
    <s v="Fort Pierce"/>
    <s v="West Palm Beach"/>
    <n v="63.7"/>
    <s v="Customer Visit"/>
  </r>
  <r>
    <n v="5"/>
    <d v="2016-01-06T17:15:00"/>
    <x v="0"/>
    <d v="2016-01-06T17:19:00"/>
    <s v="01"/>
    <s v="Business"/>
    <s v="West Palm Beach"/>
    <s v="West Palm Beach"/>
    <n v="4.3"/>
    <s v="Meal/Entertain"/>
  </r>
  <r>
    <n v="6"/>
    <d v="2016-01-06T17:30:00"/>
    <x v="0"/>
    <d v="2016-01-06T17:35:00"/>
    <s v="01"/>
    <s v="Business"/>
    <s v="West Palm Beach"/>
    <s v="Palm Beach"/>
    <n v="7.1"/>
    <s v="Meeting"/>
  </r>
  <r>
    <n v="7"/>
    <d v="2016-01-07T13:27:00"/>
    <x v="0"/>
    <d v="2016-01-07T13:33:00"/>
    <s v="01"/>
    <s v="Business"/>
    <s v="Cary"/>
    <s v="Cary"/>
    <n v="0.8"/>
    <s v="Meeting"/>
  </r>
  <r>
    <n v="8"/>
    <d v="2016-01-10T08:05:00"/>
    <x v="0"/>
    <d v="2016-01-10T08:25:00"/>
    <s v="01"/>
    <s v="Business"/>
    <s v="Cary"/>
    <s v="Morrisville"/>
    <n v="8.3000000000000007"/>
    <s v="Meeting"/>
  </r>
  <r>
    <n v="9"/>
    <d v="2016-01-10T12:17:00"/>
    <x v="0"/>
    <d v="2016-01-10T12:44:00"/>
    <s v="01"/>
    <s v="Business"/>
    <s v="Jamaica"/>
    <s v="New York"/>
    <n v="16.5"/>
    <s v="Customer Visit"/>
  </r>
  <r>
    <n v="10"/>
    <d v="2016-01-10T15:08:00"/>
    <x v="0"/>
    <d v="2016-01-10T15:51:00"/>
    <s v="01"/>
    <s v="Business"/>
    <s v="New York"/>
    <s v="Queens"/>
    <n v="10.8"/>
    <s v="Meeting"/>
  </r>
  <r>
    <n v="11"/>
    <d v="2016-01-10T18:18:00"/>
    <x v="0"/>
    <d v="2016-01-10T18:53:00"/>
    <s v="01"/>
    <s v="Business"/>
    <s v="Elmhurst"/>
    <s v="New York"/>
    <n v="7.5"/>
    <s v="Meeting"/>
  </r>
  <r>
    <n v="12"/>
    <d v="2016-01-10T19:12:00"/>
    <x v="0"/>
    <d v="2016-01-10T19:32:00"/>
    <s v="01"/>
    <s v="Business"/>
    <s v="Midtown"/>
    <s v="East Harlem"/>
    <n v="6.2"/>
    <s v="Meeting"/>
  </r>
  <r>
    <n v="13"/>
    <d v="2016-01-11T08:55:00"/>
    <x v="0"/>
    <d v="2016-01-11T09:21:00"/>
    <s v="01"/>
    <s v="Business"/>
    <s v="East Harlem"/>
    <s v="NoMad"/>
    <n v="6.4"/>
    <s v="Temporary Site"/>
  </r>
  <r>
    <n v="14"/>
    <d v="2016-01-11T11:56:00"/>
    <x v="0"/>
    <d v="2016-01-11T12:03:00"/>
    <s v="01"/>
    <s v="Business"/>
    <s v="Flatiron District"/>
    <s v="Midtown"/>
    <n v="1.6"/>
    <s v="Errand/Supplies"/>
  </r>
  <r>
    <n v="15"/>
    <d v="2016-01-11T13:32:00"/>
    <x v="0"/>
    <d v="2016-01-11T13:46:00"/>
    <s v="01"/>
    <s v="Business"/>
    <s v="Midtown"/>
    <s v="Midtown East"/>
    <n v="1.7"/>
    <s v="Meal/Entertain"/>
  </r>
  <r>
    <n v="16"/>
    <d v="2016-01-11T14:30:00"/>
    <x v="0"/>
    <d v="2016-01-11T14:43:00"/>
    <s v="01"/>
    <s v="Business"/>
    <s v="Midtown East"/>
    <s v="Midtown"/>
    <n v="1.9"/>
    <s v="Meal/Entertain"/>
  </r>
  <r>
    <n v="17"/>
    <d v="2016-01-12T12:33:00"/>
    <x v="0"/>
    <d v="2016-01-12T12:49:00"/>
    <s v="01"/>
    <s v="Business"/>
    <s v="Midtown"/>
    <s v="Hudson Square"/>
    <n v="1.9"/>
    <s v="Meal/Entertain"/>
  </r>
  <r>
    <n v="18"/>
    <d v="2016-01-12T12:53:00"/>
    <x v="0"/>
    <d v="2016-01-12T13:09:00"/>
    <s v="01"/>
    <s v="Business"/>
    <s v="Hudson Square"/>
    <s v="Lower Manhattan"/>
    <n v="4"/>
    <s v="Meal/Entertain"/>
  </r>
  <r>
    <n v="19"/>
    <d v="2016-01-12T14:42:00"/>
    <x v="0"/>
    <d v="2016-01-12T14:56:00"/>
    <s v="01"/>
    <s v="Business"/>
    <s v="Lower Manhattan"/>
    <s v="Hudson Square"/>
    <n v="1.8"/>
    <s v="Errand/Supplies"/>
  </r>
  <r>
    <n v="20"/>
    <d v="2016-01-12T15:13:00"/>
    <x v="0"/>
    <d v="2016-01-12T15:28:00"/>
    <s v="01"/>
    <s v="Business"/>
    <s v="Hudson Square"/>
    <s v="Hell's Kitchen"/>
    <n v="2.4"/>
    <s v="Customer Visit"/>
  </r>
  <r>
    <n v="21"/>
    <d v="2016-01-12T15:42:00"/>
    <x v="0"/>
    <d v="2016-01-12T15:54:00"/>
    <s v="01"/>
    <s v="Business"/>
    <s v="Hell's Kitchen"/>
    <s v="Midtown"/>
    <n v="2"/>
    <s v="Errand/Supplies"/>
  </r>
  <r>
    <n v="22"/>
    <d v="2016-01-12T16:02:00"/>
    <x v="0"/>
    <d v="2016-01-12T17:00:00"/>
    <s v="01"/>
    <s v="Business"/>
    <s v="New York"/>
    <s v="Queens County"/>
    <n v="15.1"/>
    <s v="Meeting"/>
  </r>
  <r>
    <n v="23"/>
    <d v="2016-01-13T13:54:00"/>
    <x v="0"/>
    <d v="2016-01-13T14:07:00"/>
    <s v="01"/>
    <s v="Business"/>
    <s v="Downtown"/>
    <s v="Gulfton"/>
    <n v="11.2"/>
    <s v="Meeting"/>
  </r>
  <r>
    <n v="24"/>
    <d v="2016-01-13T15:00:00"/>
    <x v="0"/>
    <d v="2016-01-13T15:28:00"/>
    <s v="01"/>
    <s v="Business"/>
    <s v="Gulfton"/>
    <s v="Downtown"/>
    <n v="11.8"/>
    <s v="Meeting"/>
  </r>
  <r>
    <n v="25"/>
    <d v="2016-01-14T16:29:00"/>
    <x v="0"/>
    <d v="2016-01-14T17:05:00"/>
    <s v="01"/>
    <s v="Business"/>
    <s v="Houston"/>
    <s v="Houston"/>
    <n v="21.9"/>
    <s v="Customer Visit"/>
  </r>
  <r>
    <n v="26"/>
    <d v="2016-01-14T21:39:00"/>
    <x v="0"/>
    <d v="2016-01-14T21:45:00"/>
    <s v="01"/>
    <s v="Business"/>
    <s v="Eagan Park"/>
    <s v="Jamestown Court"/>
    <n v="3.9"/>
    <s v="Errand/Supplies"/>
  </r>
  <r>
    <n v="27"/>
    <d v="2016-01-15T00:41:00"/>
    <x v="0"/>
    <d v="2016-01-15T01:01:00"/>
    <s v="01"/>
    <s v="Business"/>
    <s v="Morrisville"/>
    <s v="Cary"/>
    <n v="8"/>
    <s v="Errand/Supplies"/>
  </r>
  <r>
    <n v="28"/>
    <d v="2016-01-15T11:43:00"/>
    <x v="0"/>
    <d v="2016-01-15T12:03:00"/>
    <s v="01"/>
    <s v="Business"/>
    <s v="Cary"/>
    <s v="Durham"/>
    <n v="10.4"/>
    <s v="Meal/Entertain"/>
  </r>
  <r>
    <n v="29"/>
    <d v="2016-01-15T13:26:00"/>
    <x v="0"/>
    <d v="2016-01-15T13:44:00"/>
    <s v="01"/>
    <s v="Business"/>
    <s v="Durham"/>
    <s v="Cary"/>
    <n v="10.4"/>
    <s v="Meal/Entertain"/>
  </r>
  <r>
    <n v="30"/>
    <d v="2016-01-18T14:55:00"/>
    <x v="0"/>
    <d v="2016-01-18T15:06:00"/>
    <s v="01"/>
    <s v="Business"/>
    <s v="Cary"/>
    <s v="Cary"/>
    <n v="4.8"/>
    <s v="Meal/Entertain"/>
  </r>
  <r>
    <n v="31"/>
    <d v="2016-01-18T16:13:00"/>
    <x v="0"/>
    <d v="2016-01-18T16:24:00"/>
    <s v="01"/>
    <s v="Business"/>
    <s v="Farmington Woods"/>
    <s v="Whitebridge"/>
    <n v="4.7"/>
    <s v="Meal/Entertain"/>
  </r>
  <r>
    <n v="32"/>
    <d v="2016-01-19T09:09:00"/>
    <x v="0"/>
    <d v="2016-01-19T09:23:00"/>
    <s v="01"/>
    <s v="Business"/>
    <s v="Whitebridge"/>
    <s v="Lake Wellingborough"/>
    <n v="7.2"/>
    <m/>
  </r>
  <r>
    <n v="33"/>
    <d v="2016-01-19T10:55:00"/>
    <x v="0"/>
    <d v="2016-01-19T11:09:00"/>
    <s v="01"/>
    <s v="Business"/>
    <s v="Lake Wellingborough"/>
    <s v="Whitebridge"/>
    <n v="7.6"/>
    <s v="Temporary Site"/>
  </r>
  <r>
    <n v="34"/>
    <d v="2016-01-20T10:36:00"/>
    <x v="0"/>
    <d v="2016-01-20T11:11:00"/>
    <s v="01"/>
    <s v="Business"/>
    <s v="Cary"/>
    <s v="Raleigh"/>
    <n v="17.100000000000001"/>
    <s v="Meeting"/>
  </r>
  <r>
    <n v="35"/>
    <d v="2016-01-20T11:48:00"/>
    <x v="0"/>
    <d v="2016-01-20T12:19:00"/>
    <s v="01"/>
    <s v="Business"/>
    <s v="Fayetteville Street"/>
    <s v="Umstead"/>
    <n v="15.1"/>
    <s v="Meeting"/>
  </r>
  <r>
    <n v="36"/>
    <d v="2016-01-20T13:25:00"/>
    <x v="0"/>
    <d v="2016-01-20T14:19:00"/>
    <s v="01"/>
    <s v="Business"/>
    <s v="Raleigh"/>
    <s v="Cary"/>
    <n v="40.200000000000003"/>
    <s v="Customer Visit"/>
  </r>
  <r>
    <n v="37"/>
    <d v="2016-01-21T14:25:00"/>
    <x v="0"/>
    <d v="2016-01-21T14:29:00"/>
    <s v="01"/>
    <s v="Business"/>
    <s v="Cary"/>
    <s v="Cary"/>
    <n v="1.6"/>
    <s v="Errand/Supplies"/>
  </r>
  <r>
    <n v="38"/>
    <d v="2016-01-21T14:43:00"/>
    <x v="0"/>
    <d v="2016-01-21T14:51:00"/>
    <s v="01"/>
    <s v="Business"/>
    <s v="Cary"/>
    <s v="Cary"/>
    <n v="2.4"/>
    <s v="Meal/Entertain"/>
  </r>
  <r>
    <n v="39"/>
    <d v="2016-01-21T16:01:00"/>
    <x v="0"/>
    <d v="2016-01-21T16:06:00"/>
    <s v="01"/>
    <s v="Business"/>
    <s v="Cary"/>
    <s v="Cary"/>
    <n v="1"/>
    <s v="Meal/Entertain"/>
  </r>
  <r>
    <n v="40"/>
    <d v="2016-01-26T10:41:00"/>
    <x v="0"/>
    <d v="2016-01-26T10:50:00"/>
    <s v="01"/>
    <s v="Business"/>
    <s v="Whitebridge"/>
    <s v="Hazelwood"/>
    <n v="2"/>
    <s v="Meal/Entertain"/>
  </r>
  <r>
    <n v="41"/>
    <d v="2016-01-26T12:33:00"/>
    <x v="0"/>
    <d v="2016-01-26T12:41:00"/>
    <s v="01"/>
    <s v="Business"/>
    <s v="Hazelwood"/>
    <s v="Whitebridge"/>
    <n v="2.2999999999999998"/>
    <s v="Errand/Supplies"/>
  </r>
  <r>
    <n v="42"/>
    <d v="2016-01-26T16:24:00"/>
    <x v="0"/>
    <d v="2016-01-26T16:32:00"/>
    <s v="01"/>
    <s v="Business"/>
    <s v="Whitebridge"/>
    <s v="Westpark Place"/>
    <n v="1.9"/>
    <s v="Errand/Supplies"/>
  </r>
  <r>
    <n v="43"/>
    <d v="2016-01-26T17:17:00"/>
    <x v="0"/>
    <d v="2016-01-26T17:22:00"/>
    <s v="01"/>
    <s v="Business"/>
    <s v="Cary"/>
    <s v="Cary"/>
    <n v="1.4"/>
    <s v="Errand/Supplies"/>
  </r>
  <r>
    <n v="44"/>
    <d v="2016-01-26T17:27:00"/>
    <x v="0"/>
    <d v="2016-01-26T17:29:00"/>
    <s v="01"/>
    <s v="Business"/>
    <s v="Cary"/>
    <s v="Cary"/>
    <n v="0.5"/>
    <s v="Errand/Supplies"/>
  </r>
  <r>
    <n v="45"/>
    <d v="2016-01-27T09:24:00"/>
    <x v="0"/>
    <d v="2016-01-27T09:31:00"/>
    <s v="01"/>
    <s v="Business"/>
    <s v="Cary"/>
    <s v="Cary"/>
    <n v="1.8"/>
    <s v="Meeting"/>
  </r>
  <r>
    <n v="46"/>
    <d v="2016-01-27T10:19:00"/>
    <x v="0"/>
    <d v="2016-01-27T10:48:00"/>
    <s v="01"/>
    <s v="Business"/>
    <s v="Cary"/>
    <s v="Raleigh"/>
    <n v="18.7"/>
    <s v="Customer Visit"/>
  </r>
  <r>
    <n v="47"/>
    <d v="2016-01-27T12:34:00"/>
    <x v="0"/>
    <d v="2016-01-27T12:44:00"/>
    <s v="01"/>
    <s v="Business"/>
    <s v="Fairmont"/>
    <s v="Meredith Townes"/>
    <n v="3.4"/>
    <s v="Customer Visit"/>
  </r>
  <r>
    <n v="48"/>
    <d v="2016-01-27T14:05:00"/>
    <x v="0"/>
    <d v="2016-01-27T14:13:00"/>
    <s v="01"/>
    <s v="Business"/>
    <s v="Raleigh"/>
    <s v="Raleigh"/>
    <n v="2.7"/>
    <s v="Customer Visit"/>
  </r>
  <r>
    <n v="49"/>
    <d v="2016-01-27T14:46:00"/>
    <x v="0"/>
    <d v="2016-01-27T15:08:00"/>
    <s v="01"/>
    <s v="Business"/>
    <s v="Raleigh"/>
    <s v="Cary"/>
    <n v="12.9"/>
    <s v="Customer Visit"/>
  </r>
  <r>
    <n v="50"/>
    <d v="2016-01-28T12:28:00"/>
    <x v="0"/>
    <d v="2016-01-28T13:00:00"/>
    <s v="01"/>
    <s v="Business"/>
    <s v="Cary"/>
    <s v="Raleigh"/>
    <n v="19"/>
    <s v="Temporary Site"/>
  </r>
  <r>
    <n v="51"/>
    <d v="2016-01-28T15:11:00"/>
    <x v="0"/>
    <d v="2016-01-28T15:31:00"/>
    <s v="01"/>
    <s v="Business"/>
    <s v="Meredith Townes"/>
    <s v="Leesville Hollow"/>
    <n v="14.7"/>
    <s v="Meeting"/>
  </r>
  <r>
    <n v="52"/>
    <d v="2016-01-28T16:21:00"/>
    <x v="0"/>
    <d v="2016-01-28T16:51:00"/>
    <s v="01"/>
    <s v="Business"/>
    <s v="Raleigh"/>
    <s v="Cary"/>
    <n v="15.7"/>
    <s v="Meeting"/>
  </r>
  <r>
    <n v="53"/>
    <d v="2016-01-29T09:31:00"/>
    <x v="0"/>
    <d v="2016-01-29T09:45:00"/>
    <s v="01"/>
    <s v="Business"/>
    <s v="Cary"/>
    <s v="Cary"/>
    <n v="4.5999999999999996"/>
    <s v="Customer Visit"/>
  </r>
  <r>
    <n v="54"/>
    <d v="2016-01-29T10:56:00"/>
    <x v="0"/>
    <d v="2016-01-29T11:07:00"/>
    <s v="01"/>
    <s v="Business"/>
    <s v="Cary"/>
    <s v="Cary"/>
    <n v="5.2"/>
    <s v="Meeting"/>
  </r>
  <r>
    <n v="55"/>
    <d v="2016-01-29T11:43:00"/>
    <x v="0"/>
    <d v="2016-01-29T12:03:00"/>
    <s v="01"/>
    <s v="Business"/>
    <s v="Cary"/>
    <s v="Durham"/>
    <n v="10.4"/>
    <s v="Meeting"/>
  </r>
  <r>
    <n v="56"/>
    <d v="2016-01-29T13:24:00"/>
    <x v="0"/>
    <d v="2016-01-29T13:47:00"/>
    <s v="01"/>
    <s v="Business"/>
    <s v="Durham"/>
    <s v="Cary"/>
    <n v="10.1"/>
    <s v="Meeting"/>
  </r>
  <r>
    <n v="57"/>
    <d v="2016-01-29T18:31:00"/>
    <x v="0"/>
    <d v="2016-01-29T18:52:00"/>
    <s v="01"/>
    <s v="Business"/>
    <s v="Cary"/>
    <s v="Apex"/>
    <n v="5.8"/>
    <s v="Errand/Supplies"/>
  </r>
  <r>
    <n v="58"/>
    <d v="2016-01-29T21:21:00"/>
    <x v="0"/>
    <d v="2016-01-29T21:40:00"/>
    <s v="01"/>
    <s v="Business"/>
    <s v="Apex"/>
    <s v="Cary"/>
    <n v="5.5"/>
    <s v="Meal/Entertain"/>
  </r>
  <r>
    <n v="59"/>
    <d v="2016-01-30T16:21:00"/>
    <x v="0"/>
    <d v="2016-01-30T16:33:00"/>
    <s v="01"/>
    <s v="Business"/>
    <s v="Cary"/>
    <s v="Apex"/>
    <n v="5.7"/>
    <s v="Errand/Supplies"/>
  </r>
  <r>
    <n v="60"/>
    <d v="2016-01-30T18:09:00"/>
    <x v="0"/>
    <d v="2016-01-30T18:24:00"/>
    <s v="01"/>
    <s v="Business"/>
    <s v="Apex"/>
    <s v="Cary"/>
    <n v="5.7"/>
    <s v="Customer Visit"/>
  </r>
  <r>
    <n v="61"/>
    <d v="2016-02-01T10:35:00"/>
    <x v="1"/>
    <d v="2016-02-01T11:15:00"/>
    <s v="02"/>
    <s v="Business"/>
    <s v="Cary"/>
    <s v="Chapel Hill"/>
    <n v="19.399999999999999"/>
    <s v="Customer Visit"/>
  </r>
  <r>
    <n v="62"/>
    <d v="2016-02-01T12:10:00"/>
    <x v="1"/>
    <d v="2016-02-01T12:43:00"/>
    <s v="02"/>
    <s v="Business"/>
    <s v="Chapel Hill"/>
    <s v="Cary"/>
    <n v="23.3"/>
    <s v="Customer Visit"/>
  </r>
  <r>
    <n v="63"/>
    <d v="2016-02-01T12:56:00"/>
    <x v="1"/>
    <d v="2016-02-01T13:07:00"/>
    <s v="02"/>
    <s v="Business"/>
    <s v="Northwoods"/>
    <s v="Whitebridge"/>
    <n v="3.9"/>
    <s v="Meal/Entertain"/>
  </r>
  <r>
    <n v="64"/>
    <d v="2016-02-02T13:04:00"/>
    <x v="1"/>
    <d v="2016-02-02T13:23:00"/>
    <s v="02"/>
    <s v="Business"/>
    <s v="Whitebridge"/>
    <s v="Williamsburg Manor"/>
    <n v="8.3000000000000007"/>
    <s v="Meeting"/>
  </r>
  <r>
    <n v="65"/>
    <d v="2016-02-02T13:51:00"/>
    <x v="1"/>
    <d v="2016-02-02T14:06:00"/>
    <s v="02"/>
    <s v="Business"/>
    <s v="Cary"/>
    <s v="Cary"/>
    <n v="6"/>
    <s v="Errand/Supplies"/>
  </r>
  <r>
    <n v="66"/>
    <d v="2016-02-02T14:38:00"/>
    <x v="1"/>
    <d v="2016-02-02T14:42:00"/>
    <s v="02"/>
    <s v="Business"/>
    <s v="Cary"/>
    <s v="Cary"/>
    <n v="1.6"/>
    <s v="Errand/Supplies"/>
  </r>
  <r>
    <n v="67"/>
    <d v="2016-02-04T08:40:00"/>
    <x v="1"/>
    <d v="2016-02-04T09:01:00"/>
    <s v="02"/>
    <s v="Business"/>
    <s v="Cary"/>
    <s v="Morrisville"/>
    <n v="5.2"/>
    <s v="Errand/Supplies"/>
  </r>
  <r>
    <n v="68"/>
    <d v="2016-02-04T09:37:00"/>
    <x v="1"/>
    <d v="2016-02-04T10:09:00"/>
    <s v="02"/>
    <s v="Business"/>
    <s v="Morrisville"/>
    <s v="Cary"/>
    <n v="9.6999999999999993"/>
    <s v="Meal/Entertain"/>
  </r>
  <r>
    <n v="69"/>
    <d v="2016-02-04T10:26:00"/>
    <x v="1"/>
    <d v="2016-02-04T10:32:00"/>
    <s v="02"/>
    <s v="Business"/>
    <s v="Cary"/>
    <s v="Cary"/>
    <n v="1.6"/>
    <s v="Meal/Entertain"/>
  </r>
  <r>
    <n v="70"/>
    <d v="2016-02-04T15:59:00"/>
    <x v="1"/>
    <d v="2016-02-04T16:03:00"/>
    <s v="02"/>
    <s v="Business"/>
    <s v="Cary"/>
    <s v="Cary"/>
    <n v="1.1000000000000001"/>
    <s v="Meal/Entertain"/>
  </r>
  <r>
    <n v="71"/>
    <d v="2016-02-04T16:35:00"/>
    <x v="1"/>
    <d v="2016-02-04T16:39:00"/>
    <s v="02"/>
    <s v="Business"/>
    <s v="Cary"/>
    <s v="Cary"/>
    <n v="1.6"/>
    <s v="Meal/Entertain"/>
  </r>
  <r>
    <n v="72"/>
    <d v="2016-02-04T18:04:00"/>
    <x v="1"/>
    <d v="2016-02-04T18:31:00"/>
    <s v="02"/>
    <s v="Business"/>
    <s v="Whitebridge"/>
    <s v="Macgregor Downs"/>
    <n v="9"/>
    <s v="Meeting"/>
  </r>
  <r>
    <n v="73"/>
    <d v="2016-02-04T20:36:00"/>
    <x v="1"/>
    <d v="2016-02-04T20:55:00"/>
    <s v="02"/>
    <s v="Business"/>
    <s v="Cary"/>
    <s v="Cary"/>
    <n v="7.7"/>
    <s v="Meeting"/>
  </r>
  <r>
    <n v="74"/>
    <d v="2016-02-05T11:47:00"/>
    <x v="1"/>
    <d v="2016-02-05T12:07:00"/>
    <s v="02"/>
    <s v="Business"/>
    <s v="Cary"/>
    <s v="Durham"/>
    <n v="10.4"/>
    <s v="Meeting"/>
  </r>
  <r>
    <n v="75"/>
    <d v="2016-02-05T13:22:00"/>
    <x v="1"/>
    <d v="2016-02-05T13:41:00"/>
    <s v="02"/>
    <s v="Business"/>
    <s v="Durham"/>
    <s v="Cary"/>
    <n v="10.4"/>
    <s v="Meeting"/>
  </r>
  <r>
    <n v="76"/>
    <d v="2016-02-06T16:20:00"/>
    <x v="1"/>
    <d v="2016-02-06T16:53:00"/>
    <s v="02"/>
    <s v="Business"/>
    <s v="Cary"/>
    <s v="Raleigh"/>
    <n v="11.4"/>
    <s v="Between Offices"/>
  </r>
  <r>
    <n v="77"/>
    <d v="2016-02-06T18:57:00"/>
    <x v="1"/>
    <d v="2016-02-06T19:21:00"/>
    <s v="02"/>
    <s v="Business"/>
    <s v="Raleigh"/>
    <s v="Cary"/>
    <n v="9"/>
    <s v="Errand/Supplies"/>
  </r>
  <r>
    <n v="78"/>
    <d v="2016-02-06T19:28:00"/>
    <x v="1"/>
    <d v="2016-02-06T19:37:00"/>
    <s v="02"/>
    <s v="Business"/>
    <s v="Edgehill Farms"/>
    <s v="Whitebridge"/>
    <n v="3.2"/>
    <s v="Meal/Entertain"/>
  </r>
  <r>
    <n v="79"/>
    <d v="2016-02-07T16:49:00"/>
    <x v="1"/>
    <d v="2016-02-07T17:01:00"/>
    <s v="02"/>
    <s v="Business"/>
    <s v="Cary"/>
    <s v="Apex"/>
    <n v="5.6"/>
    <s v="Errand/Supplies"/>
  </r>
  <r>
    <n v="80"/>
    <d v="2016-02-07T18:03:00"/>
    <x v="1"/>
    <d v="2016-02-07T18:17:00"/>
    <s v="02"/>
    <s v="Business"/>
    <s v="Apex"/>
    <s v="Cary"/>
    <n v="5.7"/>
    <s v="Customer Visit"/>
  </r>
  <r>
    <n v="81"/>
    <d v="2016-02-07T18:39:00"/>
    <x v="1"/>
    <d v="2016-02-07T18:53:00"/>
    <s v="02"/>
    <s v="Business"/>
    <s v="Cary"/>
    <s v="Morrisville"/>
    <n v="6.1"/>
    <s v="Temporary Site"/>
  </r>
  <r>
    <n v="82"/>
    <d v="2016-02-07T20:22:00"/>
    <x v="1"/>
    <d v="2016-02-07T20:40:00"/>
    <s v="02"/>
    <s v="Business"/>
    <s v="Morrisville"/>
    <s v="Cary"/>
    <n v="6.1"/>
    <s v="Meeting"/>
  </r>
  <r>
    <n v="83"/>
    <d v="2016-02-08T12:57:00"/>
    <x v="1"/>
    <d v="2016-02-08T13:08:00"/>
    <s v="02"/>
    <s v="Business"/>
    <s v="Whitebridge"/>
    <s v="Edgehill Farms"/>
    <n v="4.3"/>
    <s v="Meal/Entertain"/>
  </r>
  <r>
    <n v="84"/>
    <d v="2016-02-08T14:00:00"/>
    <x v="1"/>
    <d v="2016-02-08T14:10:00"/>
    <s v="02"/>
    <s v="Business"/>
    <s v="Edgehill Farms"/>
    <s v="Whitebridge"/>
    <n v="2.7"/>
    <s v="Meal/Entertain"/>
  </r>
  <r>
    <n v="85"/>
    <d v="2016-02-09T10:54:00"/>
    <x v="1"/>
    <d v="2016-02-09T11:07:00"/>
    <s v="02"/>
    <s v="Personal"/>
    <s v="Whitebridge"/>
    <s v="Northwoods"/>
    <n v="5.3"/>
    <m/>
  </r>
  <r>
    <n v="86"/>
    <d v="2016-02-09T11:43:00"/>
    <x v="1"/>
    <d v="2016-02-09T11:50:00"/>
    <s v="02"/>
    <s v="Personal"/>
    <s v="Northwoods"/>
    <s v="Tanglewood"/>
    <n v="3"/>
    <m/>
  </r>
  <r>
    <n v="87"/>
    <d v="2016-02-09T13:36:00"/>
    <x v="1"/>
    <d v="2016-02-09T13:52:00"/>
    <s v="02"/>
    <s v="Personal"/>
    <s v="Tanglewood"/>
    <s v="Preston"/>
    <n v="5.0999999999999996"/>
    <m/>
  </r>
  <r>
    <n v="88"/>
    <d v="2016-02-09T13:58:00"/>
    <x v="1"/>
    <d v="2016-02-09T14:02:00"/>
    <s v="02"/>
    <s v="Personal"/>
    <s v="Preston"/>
    <s v="Whitebridge"/>
    <n v="1.5"/>
    <m/>
  </r>
  <r>
    <n v="89"/>
    <d v="2016-02-09T18:55:00"/>
    <x v="1"/>
    <d v="2016-02-09T19:11:00"/>
    <s v="02"/>
    <s v="Business"/>
    <s v="Cary"/>
    <s v="Morrisville"/>
    <n v="6.1"/>
    <m/>
  </r>
  <r>
    <n v="90"/>
    <d v="2016-02-09T20:24:00"/>
    <x v="1"/>
    <d v="2016-02-09T20:40:00"/>
    <s v="02"/>
    <s v="Business"/>
    <s v="Morrisville"/>
    <s v="Cary"/>
    <n v="6.1"/>
    <s v="Meal/Entertain"/>
  </r>
  <r>
    <n v="91"/>
    <d v="2016-02-11T16:28:00"/>
    <x v="1"/>
    <d v="2016-02-11T17:10:00"/>
    <s v="02"/>
    <s v="Business"/>
    <s v="Cary"/>
    <s v="Raleigh"/>
    <n v="17.3"/>
    <s v="Meal/Entertain"/>
  </r>
  <r>
    <n v="92"/>
    <d v="2016-02-11T17:49:00"/>
    <x v="1"/>
    <d v="2016-02-11T18:10:00"/>
    <s v="02"/>
    <s v="Business"/>
    <s v="Eastgate"/>
    <s v="Walnut Terrace"/>
    <n v="5.7"/>
    <s v="Meal/Entertain"/>
  </r>
  <r>
    <n v="93"/>
    <d v="2016-02-11T18:24:00"/>
    <x v="1"/>
    <d v="2016-02-11T18:46:00"/>
    <s v="02"/>
    <s v="Business"/>
    <s v="Raleigh"/>
    <s v="Morrisville"/>
    <n v="13.5"/>
    <s v="Temporary Site"/>
  </r>
  <r>
    <n v="94"/>
    <d v="2016-02-11T20:36:00"/>
    <x v="1"/>
    <d v="2016-02-11T20:51:00"/>
    <s v="02"/>
    <s v="Business"/>
    <s v="Morrisville"/>
    <s v="Cary"/>
    <n v="6.1"/>
    <s v="Temporary Site"/>
  </r>
  <r>
    <n v="95"/>
    <d v="2016-02-12T08:21:00"/>
    <x v="1"/>
    <d v="2016-02-12T08:42:00"/>
    <s v="02"/>
    <s v="Business"/>
    <s v="Cary"/>
    <s v="Durham"/>
    <n v="8.5"/>
    <s v="Temporary Site"/>
  </r>
  <r>
    <n v="96"/>
    <d v="2016-02-12T10:45:00"/>
    <x v="1"/>
    <d v="2016-02-12T10:52:00"/>
    <s v="02"/>
    <s v="Business"/>
    <s v="Durham"/>
    <s v="Morrisville"/>
    <n v="2.6"/>
    <s v="Temporary Site"/>
  </r>
  <r>
    <n v="97"/>
    <d v="2016-02-12T11:14:00"/>
    <x v="1"/>
    <d v="2016-02-12T11:35:00"/>
    <s v="02"/>
    <s v="Business"/>
    <s v="Morrisville"/>
    <s v="Raleigh"/>
    <n v="17"/>
    <s v="Customer Visit"/>
  </r>
  <r>
    <n v="98"/>
    <d v="2016-02-12T13:02:00"/>
    <x v="1"/>
    <d v="2016-02-12T13:36:00"/>
    <s v="02"/>
    <s v="Business"/>
    <s v="Raleigh"/>
    <s v="Cary"/>
    <n v="18"/>
    <s v="Meeting"/>
  </r>
  <r>
    <n v="99"/>
    <d v="2016-02-12T14:49:00"/>
    <x v="1"/>
    <d v="2016-02-12T15:06:00"/>
    <s v="02"/>
    <s v="Business"/>
    <s v="Cary"/>
    <s v="Morrisville"/>
    <n v="8.4"/>
    <s v="Meeting"/>
  </r>
  <r>
    <n v="100"/>
    <d v="2016-02-12T15:33:00"/>
    <x v="1"/>
    <d v="2016-02-12T16:06:00"/>
    <s v="02"/>
    <s v="Business"/>
    <s v="Morrisville"/>
    <s v="Cary"/>
    <n v="11.5"/>
    <s v="Customer Visit"/>
  </r>
  <r>
    <n v="101"/>
    <d v="2016-02-13T14:21:00"/>
    <x v="1"/>
    <d v="2016-02-13T14:41:00"/>
    <s v="02"/>
    <s v="Business"/>
    <s v="Cary"/>
    <s v="Morrisville"/>
    <n v="8.9"/>
    <s v="Meeting"/>
  </r>
  <r>
    <n v="102"/>
    <d v="2016-02-13T23:45:00"/>
    <x v="1"/>
    <d v="2016-02-14T00:01:00"/>
    <s v="02"/>
    <s v="Personal"/>
    <s v="East Elmhurst"/>
    <s v="Jackson Heights"/>
    <n v="2.7"/>
    <m/>
  </r>
  <r>
    <n v="103"/>
    <d v="2016-02-14T00:50:00"/>
    <x v="1"/>
    <d v="2016-02-14T01:00:00"/>
    <s v="02"/>
    <s v="Personal"/>
    <s v="Jackson Heights"/>
    <s v="East Elmhurst"/>
    <n v="1.8"/>
    <m/>
  </r>
  <r>
    <n v="104"/>
    <d v="2016-02-14T14:07:00"/>
    <x v="1"/>
    <d v="2016-02-14T14:40:00"/>
    <s v="02"/>
    <s v="Business"/>
    <s v="East Elmhurst"/>
    <s v="New York"/>
    <n v="8.1"/>
    <s v="Meeting"/>
  </r>
  <r>
    <n v="105"/>
    <d v="2016-02-14T14:46:00"/>
    <x v="1"/>
    <d v="2016-02-14T15:03:00"/>
    <s v="02"/>
    <s v="Business"/>
    <s v="Midtown"/>
    <s v="Midtown West"/>
    <n v="2"/>
    <s v="Meeting"/>
  </r>
  <r>
    <n v="106"/>
    <d v="2016-02-14T16:35:00"/>
    <x v="1"/>
    <d v="2016-02-14T17:02:00"/>
    <s v="02"/>
    <s v="Business"/>
    <s v="New York"/>
    <s v="Long Island City"/>
    <n v="13"/>
    <s v="Meeting"/>
  </r>
  <r>
    <n v="107"/>
    <d v="2016-02-14T17:06:00"/>
    <x v="1"/>
    <d v="2016-02-14T17:29:00"/>
    <s v="02"/>
    <s v="Business"/>
    <s v="Long Island City"/>
    <s v="Jamaica"/>
    <n v="13.9"/>
    <s v="Meeting"/>
  </r>
  <r>
    <n v="108"/>
    <d v="2016-02-16T03:21:00"/>
    <x v="1"/>
    <d v="2016-02-16T04:13:00"/>
    <s v="02"/>
    <s v="Business"/>
    <s v="Katunayaka"/>
    <s v="Unknown Location"/>
    <n v="43.7"/>
    <s v="Customer Visit"/>
  </r>
  <r>
    <n v="109"/>
    <d v="2016-02-16T08:29:00"/>
    <x v="1"/>
    <d v="2016-02-16T09:34:00"/>
    <s v="02"/>
    <s v="Business"/>
    <s v="Unknown Location"/>
    <s v="Colombo"/>
    <n v="14.1"/>
    <m/>
  </r>
  <r>
    <n v="110"/>
    <d v="2016-02-16T10:31:00"/>
    <x v="1"/>
    <d v="2016-02-16T10:41:00"/>
    <s v="02"/>
    <s v="Business"/>
    <s v="Colombo"/>
    <s v="Colombo"/>
    <n v="2.6"/>
    <m/>
  </r>
  <r>
    <n v="111"/>
    <d v="2016-02-16T11:32:00"/>
    <x v="1"/>
    <d v="2016-02-16T12:02:00"/>
    <s v="02"/>
    <s v="Business"/>
    <s v="Colombo"/>
    <s v="Colombo"/>
    <n v="4.5"/>
    <m/>
  </r>
  <r>
    <n v="112"/>
    <d v="2016-02-16T12:39:00"/>
    <x v="1"/>
    <d v="2016-02-16T12:42:00"/>
    <s v="02"/>
    <s v="Business"/>
    <s v="Colombo"/>
    <s v="Colombo"/>
    <n v="1.7"/>
    <m/>
  </r>
  <r>
    <n v="113"/>
    <d v="2016-02-16T13:43:00"/>
    <x v="1"/>
    <d v="2016-02-16T13:55:00"/>
    <s v="02"/>
    <s v="Business"/>
    <s v="Colombo"/>
    <s v="Colombo"/>
    <n v="1.8"/>
    <s v="Temporary Site"/>
  </r>
  <r>
    <n v="114"/>
    <d v="2016-02-16T16:34:00"/>
    <x v="1"/>
    <d v="2016-02-16T17:10:00"/>
    <s v="02"/>
    <s v="Business"/>
    <s v="Colombo"/>
    <s v="Colombo"/>
    <n v="6"/>
    <m/>
  </r>
  <r>
    <n v="115"/>
    <d v="2016-02-16T17:17:00"/>
    <x v="1"/>
    <d v="2016-02-16T17:26:00"/>
    <s v="02"/>
    <s v="Business"/>
    <s v="Colombo"/>
    <s v="Nugegoda"/>
    <n v="1.1000000000000001"/>
    <s v="Meal/Entertain"/>
  </r>
  <r>
    <n v="116"/>
    <d v="2016-02-16T17:40:00"/>
    <x v="1"/>
    <d v="2016-02-16T17:44:00"/>
    <s v="02"/>
    <s v="Business"/>
    <s v="Nugegoda"/>
    <s v="Unknown Location"/>
    <n v="3.6"/>
    <s v="Errand/Supplies"/>
  </r>
  <r>
    <n v="117"/>
    <d v="2016-02-17T13:18:00"/>
    <x v="1"/>
    <d v="2016-02-17T14:04:00"/>
    <s v="02"/>
    <s v="Business"/>
    <s v="Unknown Location"/>
    <s v="Colombo"/>
    <n v="14.7"/>
    <s v="Temporary Site"/>
  </r>
  <r>
    <n v="118"/>
    <d v="2016-02-17T15:17:00"/>
    <x v="1"/>
    <d v="2016-02-17T15:22:00"/>
    <s v="02"/>
    <s v="Business"/>
    <s v="Colombo"/>
    <s v="Colombo"/>
    <n v="1.7"/>
    <s v="Meal/Entertain"/>
  </r>
  <r>
    <n v="119"/>
    <d v="2016-02-17T15:33:00"/>
    <x v="1"/>
    <d v="2016-02-17T16:17:00"/>
    <s v="02"/>
    <s v="Business"/>
    <s v="Colombo"/>
    <s v="Katunayaka"/>
    <n v="21.4"/>
    <s v="Temporary Site"/>
  </r>
  <r>
    <n v="120"/>
    <d v="2016-02-17T16:38:00"/>
    <x v="1"/>
    <d v="2016-02-17T16:43:00"/>
    <s v="02"/>
    <s v="Business"/>
    <s v="Katunayaka"/>
    <s v="Katunayaka"/>
    <n v="0.5"/>
    <s v="Errand/Supplies"/>
  </r>
  <r>
    <n v="122"/>
    <d v="2016-02-18T14:03:00"/>
    <x v="1"/>
    <d v="2016-02-18T14:45:00"/>
    <s v="02"/>
    <s v="Business"/>
    <s v="Unknown Location"/>
    <s v="Islamabad"/>
    <n v="12.7"/>
    <s v="Temporary Site"/>
  </r>
  <r>
    <n v="123"/>
    <d v="2016-02-18T15:16:00"/>
    <x v="1"/>
    <d v="2016-02-18T15:31:00"/>
    <s v="02"/>
    <s v="Business"/>
    <s v="Islamabad"/>
    <s v="Unknown Location"/>
    <n v="6"/>
    <s v="Temporary Site"/>
  </r>
  <r>
    <n v="124"/>
    <d v="2016-02-18T18:44:00"/>
    <x v="1"/>
    <d v="2016-02-18T18:58:00"/>
    <s v="02"/>
    <s v="Business"/>
    <s v="Unknown Location"/>
    <s v="Islamabad"/>
    <n v="5.2"/>
    <s v="Customer Visit"/>
  </r>
  <r>
    <n v="125"/>
    <d v="2016-02-18T19:27:00"/>
    <x v="1"/>
    <d v="2016-02-18T20:08:00"/>
    <s v="02"/>
    <s v="Business"/>
    <s v="Islamabad"/>
    <s v="Unknown Location"/>
    <n v="10"/>
    <s v="Meeting"/>
  </r>
  <r>
    <n v="128"/>
    <d v="2016-02-19T10:21:00"/>
    <x v="1"/>
    <d v="2016-02-19T10:48:00"/>
    <s v="02"/>
    <s v="Business"/>
    <s v="Unknown Location"/>
    <s v="Islamabad"/>
    <n v="7.6"/>
    <s v="Meeting"/>
  </r>
  <r>
    <n v="129"/>
    <d v="2016-02-19T11:20:00"/>
    <x v="1"/>
    <d v="2016-02-19T11:26:00"/>
    <s v="02"/>
    <s v="Personal"/>
    <s v="Islamabad"/>
    <s v="Islamabad"/>
    <n v="1.5"/>
    <m/>
  </r>
  <r>
    <n v="130"/>
    <d v="2016-02-19T11:45:00"/>
    <x v="1"/>
    <d v="2016-02-19T11:50:00"/>
    <s v="02"/>
    <s v="Personal"/>
    <s v="Islamabad"/>
    <s v="Islamabad"/>
    <n v="1"/>
    <m/>
  </r>
  <r>
    <n v="131"/>
    <d v="2016-02-19T12:09:00"/>
    <x v="1"/>
    <d v="2016-02-19T12:27:00"/>
    <s v="02"/>
    <s v="Business"/>
    <s v="Islamabad"/>
    <s v="Unknown Location"/>
    <n v="7.3"/>
    <s v="Temporary Site"/>
  </r>
  <r>
    <n v="132"/>
    <d v="2016-02-19T16:26:00"/>
    <x v="1"/>
    <d v="2016-02-19T16:45:00"/>
    <s v="02"/>
    <s v="Business"/>
    <s v="Unknown Location"/>
    <s v="Islamabad"/>
    <n v="3.5"/>
    <m/>
  </r>
  <r>
    <n v="133"/>
    <d v="2016-02-19T17:09:00"/>
    <x v="1"/>
    <d v="2016-02-19T17:20:00"/>
    <s v="02"/>
    <s v="Business"/>
    <s v="Islamabad"/>
    <s v="Islamabad"/>
    <n v="4.2"/>
    <m/>
  </r>
  <r>
    <n v="134"/>
    <d v="2016-02-19T20:08:00"/>
    <x v="1"/>
    <d v="2016-02-19T20:30:00"/>
    <s v="02"/>
    <s v="Personal"/>
    <s v="Islamabad"/>
    <s v="Unknown Location"/>
    <n v="13.6"/>
    <m/>
  </r>
  <r>
    <n v="136"/>
    <d v="2016-02-20T07:59:00"/>
    <x v="1"/>
    <d v="2016-02-20T08:32:00"/>
    <s v="02"/>
    <s v="Personal"/>
    <s v="Unknown Location"/>
    <s v="Islamabad"/>
    <n v="14.4"/>
    <m/>
  </r>
  <r>
    <n v="137"/>
    <d v="2016-02-20T10:48:00"/>
    <x v="1"/>
    <d v="2016-02-20T10:56:00"/>
    <s v="02"/>
    <s v="Personal"/>
    <s v="Islamabad"/>
    <s v="Islamabad"/>
    <n v="3"/>
    <m/>
  </r>
  <r>
    <n v="138"/>
    <d v="2016-02-20T11:45:00"/>
    <x v="1"/>
    <d v="2016-02-20T11:53:00"/>
    <s v="02"/>
    <s v="Personal"/>
    <s v="Islamabad"/>
    <s v="Islamabad"/>
    <n v="1.5"/>
    <m/>
  </r>
  <r>
    <n v="139"/>
    <d v="2016-02-20T12:41:00"/>
    <x v="1"/>
    <d v="2016-02-20T13:17:00"/>
    <s v="02"/>
    <s v="Business"/>
    <s v="Islamabad"/>
    <s v="R?walpindi"/>
    <n v="18.399999999999999"/>
    <m/>
  </r>
  <r>
    <n v="140"/>
    <d v="2016-02-20T14:50:00"/>
    <x v="1"/>
    <d v="2016-02-20T15:54:00"/>
    <s v="02"/>
    <s v="Business"/>
    <s v="R?walpindi"/>
    <s v="R?walpindi"/>
    <n v="23.1"/>
    <s v="Meeting"/>
  </r>
  <r>
    <n v="141"/>
    <d v="2016-02-20T16:59:00"/>
    <x v="1"/>
    <d v="2016-02-20T17:54:00"/>
    <s v="02"/>
    <s v="Personal"/>
    <s v="R?walpindi"/>
    <s v="Unknown Location"/>
    <n v="16.5"/>
    <m/>
  </r>
  <r>
    <n v="144"/>
    <d v="2016-02-21T09:07:00"/>
    <x v="1"/>
    <d v="2016-02-21T09:46:00"/>
    <s v="02"/>
    <s v="Business"/>
    <s v="Unknown Location"/>
    <s v="Islamabad"/>
    <n v="14.5"/>
    <m/>
  </r>
  <r>
    <n v="145"/>
    <d v="2016-02-21T11:39:00"/>
    <x v="1"/>
    <d v="2016-02-21T11:43:00"/>
    <s v="02"/>
    <s v="Business"/>
    <s v="Unknown Location"/>
    <s v="Islamabad"/>
    <n v="2.4"/>
    <s v="Errand/Supplies"/>
  </r>
  <r>
    <n v="146"/>
    <d v="2016-02-21T11:47:00"/>
    <x v="1"/>
    <d v="2016-02-21T12:01:00"/>
    <s v="02"/>
    <s v="Business"/>
    <s v="Islamabad"/>
    <s v="Islamabad"/>
    <n v="4.5999999999999996"/>
    <s v="Errand/Supplies"/>
  </r>
  <r>
    <n v="147"/>
    <d v="2016-02-21T12:13:00"/>
    <x v="1"/>
    <d v="2016-02-21T12:35:00"/>
    <s v="02"/>
    <s v="Business"/>
    <s v="Islamabad"/>
    <s v="Unknown Location"/>
    <n v="8.8000000000000007"/>
    <s v="Meal/Entertain"/>
  </r>
  <r>
    <n v="150"/>
    <d v="2016-02-21T14:36:00"/>
    <x v="1"/>
    <d v="2016-02-21T15:03:00"/>
    <s v="02"/>
    <s v="Business"/>
    <s v="Unknown Location"/>
    <s v="Islamabad"/>
    <n v="13"/>
    <s v="Temporary Site"/>
  </r>
  <r>
    <n v="151"/>
    <d v="2016-02-21T15:14:00"/>
    <x v="1"/>
    <d v="2016-02-21T15:31:00"/>
    <s v="02"/>
    <s v="Business"/>
    <s v="Islamabad"/>
    <s v="Noorpur Shahan"/>
    <n v="8.1"/>
    <s v="Temporary Site"/>
  </r>
  <r>
    <n v="152"/>
    <d v="2016-02-21T15:36:00"/>
    <x v="1"/>
    <d v="2016-02-21T15:41:00"/>
    <s v="02"/>
    <s v="Business"/>
    <s v="Noorpur Shahan"/>
    <s v="Unknown Location"/>
    <n v="2.2000000000000002"/>
    <s v="Meal/Entertain"/>
  </r>
  <r>
    <n v="154"/>
    <d v="2016-02-21T23:15:00"/>
    <x v="1"/>
    <d v="2016-02-21T23:52:00"/>
    <s v="02"/>
    <s v="Business"/>
    <s v="Unknown Location"/>
    <s v="R?walpindi"/>
    <n v="20"/>
    <s v="Meeting"/>
  </r>
  <r>
    <n v="155"/>
    <d v="2016-02-22T21:54:00"/>
    <x v="1"/>
    <d v="2016-02-22T22:09:00"/>
    <s v="02"/>
    <s v="Business"/>
    <s v="Morrisville"/>
    <s v="Cary"/>
    <n v="8.1"/>
    <s v="Customer Visit"/>
  </r>
  <r>
    <n v="156"/>
    <d v="2016-02-24T14:30:00"/>
    <x v="1"/>
    <d v="2016-02-24T14:35:00"/>
    <s v="02"/>
    <s v="Business"/>
    <s v="Whitebridge"/>
    <s v="Preston"/>
    <n v="1.5"/>
    <m/>
  </r>
  <r>
    <n v="157"/>
    <d v="2016-02-24T15:19:00"/>
    <x v="1"/>
    <d v="2016-02-24T15:25:00"/>
    <s v="02"/>
    <s v="Business"/>
    <s v="Preston"/>
    <s v="Whitebridge"/>
    <n v="1.7"/>
    <s v="Errand/Supplies"/>
  </r>
  <r>
    <n v="158"/>
    <d v="2016-02-25T16:27:00"/>
    <x v="1"/>
    <d v="2016-02-25T16:35:00"/>
    <s v="02"/>
    <s v="Business"/>
    <s v="Whitebridge"/>
    <s v="Heritage Pines"/>
    <n v="3.1"/>
    <s v="Errand/Supplies"/>
  </r>
  <r>
    <n v="159"/>
    <d v="2016-02-25T16:47:00"/>
    <x v="1"/>
    <d v="2016-02-25T17:02:00"/>
    <s v="02"/>
    <s v="Business"/>
    <s v="Heritage Pines"/>
    <s v="Whitebridge"/>
    <n v="3.2"/>
    <s v="Errand/Supplies"/>
  </r>
  <r>
    <n v="160"/>
    <d v="2016-02-25T17:16:00"/>
    <x v="1"/>
    <d v="2016-02-25T17:36:00"/>
    <s v="02"/>
    <s v="Business"/>
    <s v="Whitebridge"/>
    <s v="Tanglewood"/>
    <n v="6"/>
    <s v="Meal/Entertain"/>
  </r>
  <r>
    <n v="161"/>
    <d v="2016-02-25T18:22:00"/>
    <x v="1"/>
    <d v="2016-02-25T18:39:00"/>
    <s v="02"/>
    <s v="Business"/>
    <s v="Tanglewood"/>
    <s v="Whitebridge"/>
    <n v="5.8"/>
    <s v="Meal/Entertain"/>
  </r>
  <r>
    <n v="162"/>
    <d v="2016-02-26T09:06:00"/>
    <x v="1"/>
    <d v="2016-02-26T09:29:00"/>
    <s v="02"/>
    <s v="Business"/>
    <s v="Whitebridge"/>
    <s v="Westpark Place"/>
    <n v="6.3"/>
    <m/>
  </r>
  <r>
    <n v="163"/>
    <d v="2016-02-26T11:05:00"/>
    <x v="1"/>
    <d v="2016-02-26T11:11:00"/>
    <s v="02"/>
    <s v="Personal"/>
    <s v="Westpark Place"/>
    <s v="Whitebridge"/>
    <n v="1.7"/>
    <m/>
  </r>
  <r>
    <n v="164"/>
    <d v="2016-02-26T11:35:00"/>
    <x v="1"/>
    <d v="2016-02-26T11:59:00"/>
    <s v="02"/>
    <s v="Business"/>
    <s v="Cary"/>
    <s v="Durham"/>
    <n v="10.6"/>
    <s v="Meeting"/>
  </r>
  <r>
    <n v="165"/>
    <d v="2016-02-26T13:01:00"/>
    <x v="1"/>
    <d v="2016-02-26T13:24:00"/>
    <s v="02"/>
    <s v="Business"/>
    <s v="Durham"/>
    <s v="Cary"/>
    <n v="9.9"/>
    <s v="Meeting"/>
  </r>
  <r>
    <n v="166"/>
    <d v="2016-02-26T14:38:00"/>
    <x v="1"/>
    <d v="2016-02-26T14:46:00"/>
    <s v="02"/>
    <s v="Personal"/>
    <s v="Whitebridge"/>
    <s v="Westpark Place"/>
    <n v="1.9"/>
    <m/>
  </r>
  <r>
    <n v="167"/>
    <d v="2016-02-26T15:00:00"/>
    <x v="1"/>
    <d v="2016-02-26T15:18:00"/>
    <s v="02"/>
    <s v="Personal"/>
    <s v="Westpark Place"/>
    <s v="Hazelwood"/>
    <n v="4.2"/>
    <m/>
  </r>
  <r>
    <n v="168"/>
    <d v="2016-02-26T17:01:00"/>
    <x v="1"/>
    <d v="2016-02-26T17:12:00"/>
    <s v="02"/>
    <s v="Personal"/>
    <s v="Hazelwood"/>
    <s v="Whitebridge"/>
    <n v="2"/>
    <m/>
  </r>
  <r>
    <n v="169"/>
    <d v="2016-02-28T05:22:00"/>
    <x v="1"/>
    <d v="2016-02-28T05:38:00"/>
    <s v="02"/>
    <s v="Business"/>
    <s v="Whitebridge"/>
    <s v="Waverly Place"/>
    <n v="7.7"/>
    <s v="Meeting"/>
  </r>
  <r>
    <n v="170"/>
    <d v="2016-02-28T09:26:00"/>
    <x v="1"/>
    <d v="2016-02-28T09:42:00"/>
    <s v="02"/>
    <s v="Business"/>
    <s v="Waverly Place"/>
    <s v="Whitebridge"/>
    <n v="6.8"/>
    <s v="Meeting"/>
  </r>
  <r>
    <n v="171"/>
    <d v="2016-02-29T11:07:00"/>
    <x v="1"/>
    <d v="2016-02-29T11:14:00"/>
    <s v="02"/>
    <s v="Personal"/>
    <s v="Whitebridge"/>
    <s v="Westpark Place"/>
    <n v="2.1"/>
    <m/>
  </r>
  <r>
    <n v="172"/>
    <d v="2016-02-29T11:30:00"/>
    <x v="1"/>
    <d v="2016-02-29T11:40:00"/>
    <s v="02"/>
    <s v="Business"/>
    <s v="Cary"/>
    <s v="Apex"/>
    <n v="3.8"/>
    <s v="Meeting"/>
  </r>
  <r>
    <n v="173"/>
    <d v="2016-02-29T12:36:00"/>
    <x v="1"/>
    <d v="2016-02-29T12:48:00"/>
    <s v="02"/>
    <s v="Business"/>
    <s v="Apex"/>
    <s v="Cary"/>
    <n v="5.6"/>
    <s v="Meeting"/>
  </r>
  <r>
    <n v="174"/>
    <d v="2016-02-29T14:55:00"/>
    <x v="1"/>
    <d v="2016-02-29T15:03:00"/>
    <s v="02"/>
    <s v="Business"/>
    <s v="Whitebridge"/>
    <s v="Hazelwood"/>
    <n v="2.6"/>
    <m/>
  </r>
  <r>
    <n v="175"/>
    <d v="2016-02-29T16:40:00"/>
    <x v="1"/>
    <d v="2016-02-29T17:00:00"/>
    <s v="02"/>
    <s v="Business"/>
    <s v="Hazelwood"/>
    <s v="Whitebridge"/>
    <n v="6.6"/>
    <s v="Customer Visit"/>
  </r>
  <r>
    <n v="176"/>
    <d v="2016-03-01T18:47:00"/>
    <x v="2"/>
    <d v="2016-03-01T19:10:00"/>
    <s v="03"/>
    <s v="Business"/>
    <s v="Whitebridge"/>
    <s v="Wayne Ridge"/>
    <n v="8"/>
    <s v="Meal/Entertain"/>
  </r>
  <r>
    <n v="177"/>
    <d v="2016-03-01T21:27:00"/>
    <x v="2"/>
    <d v="2016-03-01T21:45:00"/>
    <s v="03"/>
    <s v="Business"/>
    <s v="Wayne Ridge"/>
    <s v="Whitebridge"/>
    <n v="8"/>
    <s v="Meeting"/>
  </r>
  <r>
    <n v="178"/>
    <d v="2016-03-03T09:45:00"/>
    <x v="2"/>
    <d v="2016-03-03T09:52:00"/>
    <s v="03"/>
    <s v="Personal"/>
    <s v="Whitebridge"/>
    <s v="Westpark Place"/>
    <n v="2.2000000000000002"/>
    <m/>
  </r>
  <r>
    <n v="179"/>
    <d v="2016-03-03T11:04:00"/>
    <x v="2"/>
    <d v="2016-03-03T11:10:00"/>
    <s v="03"/>
    <s v="Business"/>
    <s v="Westpark Place"/>
    <s v="Whitebridge"/>
    <n v="2.2999999999999998"/>
    <s v="Errand/Supplies"/>
  </r>
  <r>
    <n v="180"/>
    <d v="2016-03-03T14:44:00"/>
    <x v="2"/>
    <d v="2016-03-03T14:58:00"/>
    <s v="03"/>
    <s v="Business"/>
    <s v="Whitebridge"/>
    <s v="Northwoods"/>
    <n v="5.2"/>
    <s v="Meal/Entertain"/>
  </r>
  <r>
    <n v="181"/>
    <d v="2016-03-03T15:27:00"/>
    <x v="2"/>
    <d v="2016-03-03T15:48:00"/>
    <s v="03"/>
    <s v="Business"/>
    <s v="Cary"/>
    <s v="Raleigh"/>
    <n v="7.6"/>
    <s v="Customer Visit"/>
  </r>
  <r>
    <n v="182"/>
    <d v="2016-03-03T16:02:00"/>
    <x v="2"/>
    <d v="2016-03-03T16:42:00"/>
    <s v="03"/>
    <s v="Business"/>
    <s v="Raleigh"/>
    <s v="Cary"/>
    <n v="17.3"/>
    <s v="Meeting"/>
  </r>
  <r>
    <n v="183"/>
    <d v="2016-03-04T07:47:00"/>
    <x v="2"/>
    <d v="2016-03-04T08:06:00"/>
    <s v="03"/>
    <s v="Business"/>
    <s v="Cary"/>
    <s v="Durham"/>
    <n v="9.9"/>
    <s v="Meeting"/>
  </r>
  <r>
    <n v="184"/>
    <d v="2016-03-04T09:46:00"/>
    <x v="2"/>
    <d v="2016-03-04T10:03:00"/>
    <s v="03"/>
    <s v="Business"/>
    <s v="Durham"/>
    <s v="Cary"/>
    <n v="9.9"/>
    <s v="Customer Visit"/>
  </r>
  <r>
    <n v="185"/>
    <d v="2016-03-04T11:46:00"/>
    <x v="2"/>
    <d v="2016-03-04T12:06:00"/>
    <s v="03"/>
    <s v="Business"/>
    <s v="Cary"/>
    <s v="Durham"/>
    <n v="10.4"/>
    <s v="Meeting"/>
  </r>
  <r>
    <n v="186"/>
    <d v="2016-03-04T13:03:00"/>
    <x v="2"/>
    <d v="2016-03-04T13:25:00"/>
    <s v="03"/>
    <s v="Business"/>
    <s v="Durham"/>
    <s v="Cary"/>
    <n v="10.9"/>
    <s v="Meeting"/>
  </r>
  <r>
    <n v="187"/>
    <d v="2016-03-04T13:40:00"/>
    <x v="2"/>
    <d v="2016-03-04T14:09:00"/>
    <s v="03"/>
    <s v="Business"/>
    <s v="Cary"/>
    <s v="Raleigh"/>
    <n v="15.7"/>
    <s v="Customer Visit"/>
  </r>
  <r>
    <n v="188"/>
    <d v="2016-03-04T15:56:00"/>
    <x v="2"/>
    <d v="2016-03-04T16:08:00"/>
    <s v="03"/>
    <s v="Business"/>
    <s v="Raleigh"/>
    <s v="Raleigh"/>
    <n v="4.9000000000000004"/>
    <s v="Meal/Entertain"/>
  </r>
  <r>
    <n v="189"/>
    <d v="2016-03-04T16:16:00"/>
    <x v="2"/>
    <d v="2016-03-04T16:22:00"/>
    <s v="03"/>
    <s v="Business"/>
    <s v="Fayetteville Street"/>
    <s v="Depot Historic District"/>
    <n v="0.8"/>
    <s v="Errand/Supplies"/>
  </r>
  <r>
    <n v="190"/>
    <d v="2016-03-04T16:43:00"/>
    <x v="2"/>
    <d v="2016-03-04T17:12:00"/>
    <s v="03"/>
    <s v="Business"/>
    <s v="Raleigh"/>
    <s v="Cary"/>
    <n v="13.5"/>
    <s v="Meeting"/>
  </r>
  <r>
    <n v="191"/>
    <d v="2016-03-04T19:02:00"/>
    <x v="2"/>
    <d v="2016-03-04T19:08:00"/>
    <s v="03"/>
    <s v="Business"/>
    <s v="Cary"/>
    <s v="Morrisville"/>
    <n v="1.9"/>
    <s v="Temporary Site"/>
  </r>
  <r>
    <n v="192"/>
    <d v="2016-03-04T19:16:00"/>
    <x v="2"/>
    <d v="2016-03-04T19:25:00"/>
    <s v="03"/>
    <s v="Business"/>
    <s v="Morrisville"/>
    <s v="Cary"/>
    <n v="2"/>
    <s v="Meal/Entertain"/>
  </r>
  <r>
    <n v="193"/>
    <d v="2016-03-05T11:44:00"/>
    <x v="2"/>
    <d v="2016-03-05T11:59:00"/>
    <s v="03"/>
    <s v="Business"/>
    <s v="Cary"/>
    <s v="Morrisville"/>
    <n v="6.5"/>
    <s v="Meal/Entertain"/>
  </r>
  <r>
    <n v="194"/>
    <d v="2016-03-05T12:57:00"/>
    <x v="2"/>
    <d v="2016-03-05T13:12:00"/>
    <s v="03"/>
    <s v="Personal"/>
    <s v="Weston"/>
    <s v="Weston"/>
    <n v="4.2"/>
    <m/>
  </r>
  <r>
    <n v="195"/>
    <d v="2016-03-05T14:08:00"/>
    <x v="2"/>
    <d v="2016-03-05T14:18:00"/>
    <s v="03"/>
    <s v="Personal"/>
    <s v="Morrisville"/>
    <s v="Cary"/>
    <n v="3.5"/>
    <m/>
  </r>
  <r>
    <n v="196"/>
    <d v="2016-03-05T14:39:00"/>
    <x v="2"/>
    <d v="2016-03-05T15:01:00"/>
    <s v="03"/>
    <s v="Business"/>
    <s v="Whitebridge"/>
    <s v="Wayne Ridge"/>
    <n v="7.8"/>
    <s v="Meal/Entertain"/>
  </r>
  <r>
    <n v="197"/>
    <d v="2016-03-05T16:52:00"/>
    <x v="2"/>
    <d v="2016-03-05T17:13:00"/>
    <s v="03"/>
    <s v="Business"/>
    <s v="Cary"/>
    <s v="Morrisville"/>
    <n v="7.8"/>
    <s v="Meal/Entertain"/>
  </r>
  <r>
    <n v="198"/>
    <d v="2016-03-05T17:23:00"/>
    <x v="2"/>
    <d v="2016-03-05T17:34:00"/>
    <s v="03"/>
    <s v="Business"/>
    <s v="Morrisville"/>
    <s v="Cary"/>
    <n v="3.9"/>
    <s v="Meal/Entertain"/>
  </r>
  <r>
    <n v="199"/>
    <d v="2016-03-07T09:10:00"/>
    <x v="2"/>
    <d v="2016-03-07T09:20:00"/>
    <s v="03"/>
    <s v="Business"/>
    <s v="Whitebridge"/>
    <s v="Edgehill Farms"/>
    <n v="2.8"/>
    <s v="Errand/Supplies"/>
  </r>
  <r>
    <n v="200"/>
    <d v="2016-03-07T09:23:00"/>
    <x v="2"/>
    <d v="2016-03-07T09:47:00"/>
    <s v="03"/>
    <s v="Business"/>
    <s v="Cary"/>
    <s v="Raleigh"/>
    <n v="12.4"/>
    <s v="Customer Visit"/>
  </r>
  <r>
    <n v="201"/>
    <d v="2016-03-07T12:10:00"/>
    <x v="2"/>
    <d v="2016-03-07T12:26:00"/>
    <s v="03"/>
    <s v="Business"/>
    <s v="Fayetteville Street"/>
    <s v="Meredith Townes"/>
    <n v="5.9"/>
    <s v="Customer Visit"/>
  </r>
  <r>
    <n v="202"/>
    <d v="2016-03-07T13:57:00"/>
    <x v="2"/>
    <d v="2016-03-07T14:18:00"/>
    <s v="03"/>
    <s v="Business"/>
    <s v="Meredith Townes"/>
    <s v="Leesville Hollow"/>
    <n v="9.4"/>
    <s v="Meeting"/>
  </r>
  <r>
    <n v="203"/>
    <d v="2016-03-07T15:19:00"/>
    <x v="2"/>
    <d v="2016-03-07T15:45:00"/>
    <s v="03"/>
    <s v="Business"/>
    <s v="Raleigh"/>
    <s v="Cary"/>
    <n v="11.9"/>
    <s v="Between Offices"/>
  </r>
  <r>
    <n v="204"/>
    <d v="2016-03-08T14:38:00"/>
    <x v="2"/>
    <d v="2016-03-08T14:55:00"/>
    <s v="03"/>
    <s v="Business"/>
    <s v="Whitebridge"/>
    <s v="Waverly Place"/>
    <n v="7.2"/>
    <s v="Between Offices"/>
  </r>
  <r>
    <n v="205"/>
    <d v="2016-03-08T15:35:00"/>
    <x v="2"/>
    <d v="2016-03-08T16:00:00"/>
    <s v="03"/>
    <s v="Business"/>
    <s v="Waverly Place"/>
    <s v="Whitebridge"/>
    <n v="7.6"/>
    <s v="Meal/Entertain"/>
  </r>
  <r>
    <n v="206"/>
    <d v="2016-03-08T16:13:00"/>
    <x v="2"/>
    <d v="2016-03-08T16:25:00"/>
    <s v="03"/>
    <s v="Personal"/>
    <s v="Whitebridge"/>
    <s v="Whitebridge"/>
    <n v="1.6"/>
    <m/>
  </r>
  <r>
    <n v="207"/>
    <d v="2016-03-10T03:36:00"/>
    <x v="2"/>
    <d v="2016-03-10T03:53:00"/>
    <s v="03"/>
    <s v="Business"/>
    <s v="Cary"/>
    <s v="Morrisville"/>
    <n v="8.4"/>
    <s v="Meeting"/>
  </r>
  <r>
    <n v="208"/>
    <d v="2016-03-10T10:08:00"/>
    <x v="2"/>
    <d v="2016-03-10T10:37:00"/>
    <s v="03"/>
    <s v="Business"/>
    <s v="East Austin"/>
    <s v="West University"/>
    <n v="12.8"/>
    <s v="Meeting"/>
  </r>
  <r>
    <n v="209"/>
    <d v="2016-03-10T14:39:00"/>
    <x v="2"/>
    <d v="2016-03-10T14:55:00"/>
    <s v="03"/>
    <s v="Business"/>
    <s v="West University"/>
    <s v="South Congress"/>
    <n v="2.2999999999999998"/>
    <m/>
  </r>
  <r>
    <n v="210"/>
    <d v="2016-03-10T16:18:00"/>
    <x v="2"/>
    <d v="2016-03-10T16:28:00"/>
    <s v="03"/>
    <s v="Business"/>
    <s v="South Congress"/>
    <s v="Arts District"/>
    <n v="1.6"/>
    <m/>
  </r>
  <r>
    <n v="211"/>
    <d v="2016-03-11T09:47:00"/>
    <x v="2"/>
    <d v="2016-03-11T09:59:00"/>
    <s v="03"/>
    <s v="Business"/>
    <s v="The Drag"/>
    <s v="Congress Ave District"/>
    <n v="2"/>
    <s v="Meal/Entertain"/>
  </r>
  <r>
    <n v="212"/>
    <d v="2016-03-11T10:29:00"/>
    <x v="2"/>
    <d v="2016-03-11T10:36:00"/>
    <s v="03"/>
    <s v="Business"/>
    <s v="Congress Ave District"/>
    <s v="Downtown"/>
    <n v="0.8"/>
    <m/>
  </r>
  <r>
    <n v="213"/>
    <d v="2016-03-11T11:57:00"/>
    <x v="2"/>
    <d v="2016-03-11T12:04:00"/>
    <s v="03"/>
    <s v="Business"/>
    <s v="Downtown"/>
    <s v="Red River District"/>
    <n v="1.2"/>
    <m/>
  </r>
  <r>
    <n v="214"/>
    <d v="2016-03-11T13:43:00"/>
    <x v="2"/>
    <d v="2016-03-11T13:51:00"/>
    <s v="03"/>
    <s v="Business"/>
    <s v="Red River District"/>
    <s v="Downtown"/>
    <n v="1"/>
    <m/>
  </r>
  <r>
    <n v="215"/>
    <d v="2016-03-11T19:21:00"/>
    <x v="2"/>
    <d v="2016-03-11T19:35:00"/>
    <s v="03"/>
    <s v="Business"/>
    <s v="South Congress"/>
    <s v="The Drag"/>
    <n v="2.1"/>
    <m/>
  </r>
  <r>
    <n v="216"/>
    <d v="2016-03-12T09:13:00"/>
    <x v="2"/>
    <d v="2016-03-12T09:22:00"/>
    <s v="03"/>
    <s v="Business"/>
    <s v="The Drag"/>
    <s v="South Congress"/>
    <n v="2.2000000000000002"/>
    <m/>
  </r>
  <r>
    <n v="217"/>
    <d v="2016-03-12T18:27:00"/>
    <x v="2"/>
    <d v="2016-03-12T18:37:00"/>
    <s v="03"/>
    <s v="Personal"/>
    <s v="South Congress"/>
    <s v="The Drag"/>
    <n v="1.9"/>
    <m/>
  </r>
  <r>
    <n v="218"/>
    <d v="2016-03-13T09:07:00"/>
    <x v="2"/>
    <d v="2016-03-13T09:37:00"/>
    <s v="03"/>
    <s v="Business"/>
    <s v="The Drag"/>
    <s v="Convention Center District"/>
    <n v="5.7"/>
    <s v="Meal/Entertain"/>
  </r>
  <r>
    <n v="219"/>
    <d v="2016-03-13T18:23:00"/>
    <x v="2"/>
    <d v="2016-03-13T18:43:00"/>
    <s v="03"/>
    <s v="Business"/>
    <s v="South Congress"/>
    <s v="North Austin"/>
    <n v="8.4"/>
    <s v="Meal/Entertain"/>
  </r>
  <r>
    <n v="220"/>
    <d v="2016-03-13T20:07:00"/>
    <x v="2"/>
    <d v="2016-03-13T20:28:00"/>
    <s v="03"/>
    <s v="Business"/>
    <s v="Georgian Acres"/>
    <s v="The Drag"/>
    <n v="6.2"/>
    <s v="Meal/Entertain"/>
  </r>
  <r>
    <n v="221"/>
    <d v="2016-03-13T20:39:00"/>
    <x v="2"/>
    <d v="2016-03-13T20:58:00"/>
    <s v="03"/>
    <s v="Business"/>
    <s v="The Drag"/>
    <s v="North Austin"/>
    <n v="10.5"/>
    <s v="Meal/Entertain"/>
  </r>
  <r>
    <n v="222"/>
    <d v="2016-03-13T21:11:00"/>
    <x v="2"/>
    <d v="2016-03-13T21:23:00"/>
    <s v="03"/>
    <s v="Business"/>
    <s v="North Austin"/>
    <s v="Coxville"/>
    <n v="7.2"/>
    <s v="Meal/Entertain"/>
  </r>
  <r>
    <n v="223"/>
    <d v="2016-03-13T22:19:00"/>
    <x v="2"/>
    <d v="2016-03-13T22:39:00"/>
    <s v="03"/>
    <s v="Business"/>
    <s v="Coxville"/>
    <s v="The Drag"/>
    <n v="12.5"/>
    <m/>
  </r>
  <r>
    <n v="224"/>
    <d v="2016-03-14T08:34:00"/>
    <x v="2"/>
    <d v="2016-03-14T08:49:00"/>
    <s v="03"/>
    <s v="Business"/>
    <s v="The Drag"/>
    <s v="South Congress"/>
    <n v="2"/>
    <s v="Errand/Supplies"/>
  </r>
  <r>
    <n v="225"/>
    <d v="2016-03-14T18:39:00"/>
    <x v="2"/>
    <d v="2016-03-14T18:55:00"/>
    <s v="03"/>
    <s v="Business"/>
    <s v="South Congress"/>
    <s v="The Drag"/>
    <n v="2.7"/>
    <m/>
  </r>
  <r>
    <n v="226"/>
    <d v="2016-03-15T08:45:00"/>
    <x v="2"/>
    <d v="2016-03-15T08:57:00"/>
    <s v="03"/>
    <s v="Business"/>
    <s v="The Drag"/>
    <s v="Convention Center District"/>
    <n v="2"/>
    <s v="Meal/Entertain"/>
  </r>
  <r>
    <n v="227"/>
    <d v="2016-03-15T20:48:00"/>
    <x v="2"/>
    <d v="2016-03-15T21:01:00"/>
    <s v="03"/>
    <s v="Business"/>
    <s v="Downtown"/>
    <s v="The Drag"/>
    <n v="2.8"/>
    <s v="Meal/Entertain"/>
  </r>
  <r>
    <n v="228"/>
    <d v="2016-03-16T11:34:00"/>
    <x v="2"/>
    <d v="2016-03-16T11:45:00"/>
    <s v="03"/>
    <s v="Business"/>
    <s v="The Drag"/>
    <s v="Congress Ave District"/>
    <n v="1.7"/>
    <s v="Meal/Entertain"/>
  </r>
  <r>
    <n v="229"/>
    <d v="2016-03-16T14:44:00"/>
    <x v="2"/>
    <d v="2016-03-16T14:55:00"/>
    <s v="03"/>
    <s v="Business"/>
    <s v="Convention Center District"/>
    <s v="West University"/>
    <n v="2"/>
    <m/>
  </r>
  <r>
    <n v="230"/>
    <d v="2016-03-16T18:43:00"/>
    <x v="2"/>
    <d v="2016-03-16T18:56:00"/>
    <s v="03"/>
    <s v="Business"/>
    <s v="West University"/>
    <s v="Congress Ave District"/>
    <n v="2.1"/>
    <s v="Meal/Entertain"/>
  </r>
  <r>
    <n v="231"/>
    <d v="2016-03-17T00:33:00"/>
    <x v="2"/>
    <d v="2016-03-17T00:44:00"/>
    <s v="03"/>
    <s v="Personal"/>
    <s v="Downtown"/>
    <s v="The Drag"/>
    <n v="1.7"/>
    <m/>
  </r>
  <r>
    <n v="232"/>
    <d v="2016-03-17T12:52:00"/>
    <x v="2"/>
    <d v="2016-03-17T15:11:00"/>
    <s v="03"/>
    <s v="Business"/>
    <s v="Austin"/>
    <s v="Katy"/>
    <n v="136"/>
    <s v="Customer Visit"/>
  </r>
  <r>
    <n v="233"/>
    <d v="2016-03-17T15:16:00"/>
    <x v="2"/>
    <d v="2016-03-17T15:58:00"/>
    <s v="03"/>
    <s v="Business"/>
    <s v="Katy"/>
    <s v="Houston"/>
    <n v="30.2"/>
    <s v="Meeting"/>
  </r>
  <r>
    <n v="234"/>
    <d v="2016-03-17T17:20:00"/>
    <x v="2"/>
    <d v="2016-03-17T18:02:00"/>
    <s v="03"/>
    <s v="Business"/>
    <s v="Midtown"/>
    <s v="Alief"/>
    <n v="15.5"/>
    <s v="Meal/Entertain"/>
  </r>
  <r>
    <n v="235"/>
    <d v="2016-03-17T18:47:00"/>
    <x v="2"/>
    <d v="2016-03-17T19:09:00"/>
    <s v="03"/>
    <s v="Personal"/>
    <s v="Houston"/>
    <s v="Houston"/>
    <n v="4.9000000000000004"/>
    <m/>
  </r>
  <r>
    <n v="236"/>
    <d v="2016-03-17T20:57:00"/>
    <x v="2"/>
    <d v="2016-03-17T21:28:00"/>
    <s v="03"/>
    <s v="Personal"/>
    <s v="Houston"/>
    <s v="Houston"/>
    <n v="12.6"/>
    <m/>
  </r>
  <r>
    <n v="237"/>
    <d v="2016-03-17T21:48:00"/>
    <x v="2"/>
    <d v="2016-03-17T22:04:00"/>
    <s v="03"/>
    <s v="Personal"/>
    <s v="Sharpstown"/>
    <s v="Midtown"/>
    <n v="10.4"/>
    <m/>
  </r>
  <r>
    <n v="238"/>
    <d v="2016-03-18T07:15:00"/>
    <x v="2"/>
    <d v="2016-03-18T07:21:00"/>
    <s v="03"/>
    <s v="Business"/>
    <s v="Midtown"/>
    <s v="Midtown"/>
    <n v="1.1000000000000001"/>
    <s v="Meal/Entertain"/>
  </r>
  <r>
    <n v="239"/>
    <d v="2016-03-18T08:35:00"/>
    <x v="2"/>
    <d v="2016-03-18T08:43:00"/>
    <s v="03"/>
    <s v="Business"/>
    <s v="Midtown"/>
    <s v="Midtown"/>
    <n v="1.1000000000000001"/>
    <s v="Meal/Entertain"/>
  </r>
  <r>
    <n v="240"/>
    <d v="2016-03-18T18:24:00"/>
    <x v="2"/>
    <d v="2016-03-18T19:08:00"/>
    <s v="03"/>
    <s v="Business"/>
    <s v="Midtown"/>
    <s v="Sharpstown"/>
    <n v="13.2"/>
    <s v="Meeting"/>
  </r>
  <r>
    <n v="241"/>
    <d v="2016-03-18T19:23:00"/>
    <x v="2"/>
    <d v="2016-03-18T19:29:00"/>
    <s v="03"/>
    <s v="Business"/>
    <s v="Sharpstown"/>
    <s v="Sharpstown"/>
    <n v="1"/>
    <s v="Errand/Supplies"/>
  </r>
  <r>
    <n v="242"/>
    <d v="2016-03-18T21:01:00"/>
    <x v="2"/>
    <d v="2016-03-18T21:15:00"/>
    <s v="03"/>
    <s v="Business"/>
    <s v="Sharpstown"/>
    <s v="Midtown"/>
    <n v="9.1999999999999993"/>
    <s v="Customer Visit"/>
  </r>
  <r>
    <n v="243"/>
    <d v="2016-03-19T09:10:00"/>
    <x v="2"/>
    <d v="2016-03-19T09:25:00"/>
    <s v="03"/>
    <s v="Business"/>
    <s v="Midtown"/>
    <s v="Sharpstown"/>
    <n v="9.4"/>
    <s v="Meal/Entertain"/>
  </r>
  <r>
    <n v="244"/>
    <d v="2016-03-19T12:50:00"/>
    <x v="2"/>
    <d v="2016-03-19T13:13:00"/>
    <s v="03"/>
    <s v="Business"/>
    <s v="Houston"/>
    <s v="Sugar Land"/>
    <n v="12"/>
    <s v="Customer Visit"/>
  </r>
  <r>
    <n v="245"/>
    <d v="2016-03-19T14:01:00"/>
    <x v="2"/>
    <d v="2016-03-19T14:57:00"/>
    <s v="03"/>
    <s v="Business"/>
    <s v="Sugar Land"/>
    <s v="Houston"/>
    <n v="35.1"/>
    <s v="Customer Visit"/>
  </r>
  <r>
    <n v="246"/>
    <d v="2016-03-19T15:34:00"/>
    <x v="2"/>
    <d v="2016-03-19T16:38:00"/>
    <s v="03"/>
    <s v="Business"/>
    <s v="Houston"/>
    <s v="Galveston"/>
    <n v="36.5"/>
    <s v="Meal/Entertain"/>
  </r>
  <r>
    <n v="247"/>
    <d v="2016-03-19T17:17:00"/>
    <x v="2"/>
    <d v="2016-03-19T17:32:00"/>
    <s v="03"/>
    <s v="Business"/>
    <s v="Galveston"/>
    <s v="Port Bolivar"/>
    <n v="3.1"/>
    <s v="Meal/Entertain"/>
  </r>
  <r>
    <n v="248"/>
    <d v="2016-03-19T17:37:00"/>
    <x v="2"/>
    <d v="2016-03-19T17:47:00"/>
    <s v="03"/>
    <s v="Business"/>
    <s v="Port Bolivar"/>
    <s v="Port Bolivar"/>
    <n v="2.1"/>
    <s v="Errand/Supplies"/>
  </r>
  <r>
    <n v="249"/>
    <d v="2016-03-19T17:52:00"/>
    <x v="2"/>
    <d v="2016-03-19T18:00:00"/>
    <s v="03"/>
    <s v="Business"/>
    <s v="Port Bolivar"/>
    <s v="Port Bolivar"/>
    <n v="1.2"/>
    <m/>
  </r>
  <r>
    <n v="250"/>
    <d v="2016-03-19T18:53:00"/>
    <x v="2"/>
    <d v="2016-03-19T19:29:00"/>
    <s v="03"/>
    <s v="Business"/>
    <s v="Port Bolivar"/>
    <s v="Galveston"/>
    <n v="7.5"/>
    <s v="Meeting"/>
  </r>
  <r>
    <n v="251"/>
    <d v="2016-03-19T19:33:00"/>
    <x v="2"/>
    <d v="2016-03-19T20:39:00"/>
    <s v="03"/>
    <s v="Business"/>
    <s v="Galveston"/>
    <s v="Houston"/>
    <n v="57"/>
    <s v="Customer Visit"/>
  </r>
  <r>
    <n v="252"/>
    <d v="2016-03-20T07:37:00"/>
    <x v="2"/>
    <d v="2016-03-20T07:48:00"/>
    <s v="03"/>
    <s v="Business"/>
    <s v="Midtown"/>
    <s v="Washington Avenue"/>
    <n v="5.9"/>
    <s v="Meeting"/>
  </r>
  <r>
    <n v="253"/>
    <d v="2016-03-20T11:42:00"/>
    <x v="2"/>
    <d v="2016-03-20T11:56:00"/>
    <s v="03"/>
    <s v="Business"/>
    <s v="Washington Avenue"/>
    <s v="Midtown"/>
    <n v="6.2"/>
    <s v="Meeting"/>
  </r>
  <r>
    <n v="254"/>
    <d v="2016-03-20T17:08:00"/>
    <x v="2"/>
    <d v="2016-03-20T17:34:00"/>
    <s v="03"/>
    <s v="Business"/>
    <s v="Midtown"/>
    <s v="Sharpstown"/>
    <n v="10.4"/>
    <m/>
  </r>
  <r>
    <n v="255"/>
    <d v="2016-03-20T18:34:00"/>
    <x v="2"/>
    <d v="2016-03-20T18:40:00"/>
    <s v="03"/>
    <s v="Personal"/>
    <s v="Sharpstown"/>
    <s v="Briar Meadow"/>
    <n v="1.2"/>
    <m/>
  </r>
  <r>
    <n v="256"/>
    <d v="2016-03-20T18:45:00"/>
    <x v="2"/>
    <d v="2016-03-20T19:06:00"/>
    <s v="03"/>
    <s v="Business"/>
    <s v="Briar Meadow"/>
    <s v="Midtown"/>
    <n v="9.6"/>
    <s v="Customer Visit"/>
  </r>
  <r>
    <n v="257"/>
    <d v="2016-03-21T10:21:00"/>
    <x v="2"/>
    <d v="2016-03-21T10:26:00"/>
    <s v="03"/>
    <s v="Personal"/>
    <s v="Midtown"/>
    <s v="Downtown"/>
    <n v="1"/>
    <m/>
  </r>
  <r>
    <n v="258"/>
    <d v="2016-03-21T16:05:00"/>
    <x v="2"/>
    <d v="2016-03-21T16:13:00"/>
    <s v="03"/>
    <s v="Business"/>
    <s v="Downtown"/>
    <s v="Midtown"/>
    <n v="0.9"/>
    <s v="Meal/Entertain"/>
  </r>
  <r>
    <n v="259"/>
    <d v="2016-03-21T18:59:00"/>
    <x v="2"/>
    <d v="2016-03-21T19:15:00"/>
    <s v="03"/>
    <s v="Business"/>
    <s v="Midtown"/>
    <s v="Sharpstown"/>
    <n v="8.8000000000000007"/>
    <m/>
  </r>
  <r>
    <n v="260"/>
    <d v="2016-03-21T20:18:00"/>
    <x v="2"/>
    <d v="2016-03-21T20:55:00"/>
    <s v="03"/>
    <s v="Business"/>
    <s v="Sharpstown"/>
    <s v="Midtown"/>
    <n v="25.6"/>
    <s v="Meal/Entertain"/>
  </r>
  <r>
    <n v="261"/>
    <d v="2016-03-22T06:17:00"/>
    <x v="2"/>
    <d v="2016-03-22T06:43:00"/>
    <s v="03"/>
    <s v="Business"/>
    <s v="Midtown"/>
    <s v="Greater Greenspoint"/>
    <n v="23"/>
    <s v="Meal/Entertain"/>
  </r>
  <r>
    <n v="262"/>
    <d v="2016-03-22T12:06:00"/>
    <x v="2"/>
    <d v="2016-03-22T12:24:00"/>
    <s v="03"/>
    <s v="Personal"/>
    <s v="Morrisville"/>
    <s v="Cary"/>
    <n v="8.1"/>
    <m/>
  </r>
  <r>
    <n v="263"/>
    <d v="2016-03-22T19:12:00"/>
    <x v="2"/>
    <d v="2016-03-22T19:25:00"/>
    <s v="03"/>
    <s v="Personal"/>
    <s v="Whitebridge"/>
    <s v="Whitebridge"/>
    <n v="1.4"/>
    <m/>
  </r>
  <r>
    <n v="264"/>
    <d v="2016-03-23T14:37:00"/>
    <x v="2"/>
    <d v="2016-03-23T14:42:00"/>
    <s v="03"/>
    <s v="Personal"/>
    <s v="Whitebridge"/>
    <s v="Preston"/>
    <n v="1.7"/>
    <m/>
  </r>
  <r>
    <n v="265"/>
    <d v="2016-03-23T14:53:00"/>
    <x v="2"/>
    <d v="2016-03-23T14:59:00"/>
    <s v="03"/>
    <s v="Personal"/>
    <s v="Preston"/>
    <s v="Whitebridge"/>
    <n v="1.6"/>
    <m/>
  </r>
  <r>
    <n v="266"/>
    <d v="2016-03-24T19:47:00"/>
    <x v="2"/>
    <d v="2016-03-24T19:54:00"/>
    <s v="03"/>
    <s v="Personal"/>
    <s v="Whitebridge"/>
    <s v="Westpark Place"/>
    <n v="2"/>
    <m/>
  </r>
  <r>
    <n v="267"/>
    <d v="2016-03-24T20:34:00"/>
    <x v="2"/>
    <d v="2016-03-24T20:40:00"/>
    <s v="03"/>
    <s v="Business"/>
    <s v="Westpark Place"/>
    <s v="Whitebridge"/>
    <n v="2.2000000000000002"/>
    <m/>
  </r>
  <r>
    <n v="268"/>
    <d v="2016-03-25T13:24:00"/>
    <x v="2"/>
    <d v="2016-03-25T16:22:00"/>
    <s v="03"/>
    <s v="Business"/>
    <s v="Cary"/>
    <s v="Latta"/>
    <n v="144"/>
    <s v="Customer Visit"/>
  </r>
  <r>
    <n v="269"/>
    <d v="2016-03-25T16:52:00"/>
    <x v="2"/>
    <d v="2016-03-25T22:22:00"/>
    <s v="03"/>
    <s v="Business"/>
    <s v="Latta"/>
    <s v="Jacksonville"/>
    <n v="310.3"/>
    <s v="Customer Visit"/>
  </r>
  <r>
    <n v="270"/>
    <d v="2016-03-25T22:54:00"/>
    <x v="2"/>
    <d v="2016-03-26T01:39:00"/>
    <s v="03"/>
    <s v="Business"/>
    <s v="Jacksonville"/>
    <s v="Kissimmee"/>
    <n v="201"/>
    <s v="Meeting"/>
  </r>
  <r>
    <n v="271"/>
    <d v="2016-03-26T14:05:00"/>
    <x v="2"/>
    <d v="2016-03-26T14:29:00"/>
    <s v="03"/>
    <s v="Personal"/>
    <s v="Couples Glen"/>
    <s v="Isles of Buena Vista"/>
    <n v="6.7"/>
    <m/>
  </r>
  <r>
    <n v="272"/>
    <d v="2016-03-26T15:19:00"/>
    <x v="2"/>
    <d v="2016-03-26T15:49:00"/>
    <s v="03"/>
    <s v="Personal"/>
    <s v="Kissimmee"/>
    <s v="Orlando"/>
    <n v="8.8000000000000007"/>
    <m/>
  </r>
  <r>
    <n v="273"/>
    <d v="2016-03-26T16:26:00"/>
    <x v="2"/>
    <d v="2016-03-26T16:30:00"/>
    <s v="03"/>
    <s v="Personal"/>
    <s v="Lake Reams"/>
    <s v="Lake Reams"/>
    <n v="1.2"/>
    <m/>
  </r>
  <r>
    <n v="274"/>
    <d v="2016-03-27T00:31:00"/>
    <x v="2"/>
    <d v="2016-03-27T00:40:00"/>
    <s v="03"/>
    <s v="Business"/>
    <s v="Lake Reams"/>
    <s v="Lake Reams"/>
    <n v="2.1"/>
    <s v="Errand/Supplies"/>
  </r>
  <r>
    <n v="275"/>
    <d v="2016-03-27T01:11:00"/>
    <x v="2"/>
    <d v="2016-03-27T01:23:00"/>
    <s v="03"/>
    <s v="Business"/>
    <s v="Orlando"/>
    <s v="Kissimmee"/>
    <n v="6.6"/>
    <s v="Meal/Entertain"/>
  </r>
  <r>
    <n v="276"/>
    <d v="2016-03-27T15:31:00"/>
    <x v="2"/>
    <d v="2016-03-27T15:56:00"/>
    <s v="03"/>
    <s v="Business"/>
    <s v="Kissimmee"/>
    <s v="Orlando"/>
    <n v="6.1"/>
    <s v="Customer Visit"/>
  </r>
  <r>
    <n v="277"/>
    <d v="2016-03-27T21:26:00"/>
    <x v="2"/>
    <d v="2016-03-27T21:41:00"/>
    <s v="03"/>
    <s v="Personal"/>
    <s v="Orlando"/>
    <s v="Orlando"/>
    <n v="6.9"/>
    <m/>
  </r>
  <r>
    <n v="278"/>
    <d v="2016-03-27T23:04:00"/>
    <x v="2"/>
    <d v="2016-03-27T23:18:00"/>
    <s v="03"/>
    <s v="Personal"/>
    <s v="Orlando"/>
    <s v="Kissimmee"/>
    <n v="7.3"/>
    <m/>
  </r>
  <r>
    <n v="279"/>
    <d v="2016-03-28T12:29:00"/>
    <x v="2"/>
    <d v="2016-03-28T12:42:00"/>
    <s v="03"/>
    <s v="Personal"/>
    <s v="Kissimmee"/>
    <s v="Orlando"/>
    <n v="3.6"/>
    <m/>
  </r>
  <r>
    <n v="280"/>
    <d v="2016-03-28T19:30:00"/>
    <x v="2"/>
    <d v="2016-03-28T20:23:00"/>
    <s v="03"/>
    <s v="Personal"/>
    <s v="Couples Glen"/>
    <s v="Vista East"/>
    <n v="27.2"/>
    <m/>
  </r>
  <r>
    <n v="281"/>
    <d v="2016-03-28T22:55:00"/>
    <x v="2"/>
    <d v="2016-03-28T23:26:00"/>
    <s v="03"/>
    <s v="Personal"/>
    <s v="Orlando"/>
    <s v="Kissimmee"/>
    <n v="25.7"/>
    <m/>
  </r>
  <r>
    <n v="282"/>
    <d v="2016-03-29T15:27:00"/>
    <x v="2"/>
    <d v="2016-03-29T16:11:00"/>
    <s v="03"/>
    <s v="Personal"/>
    <s v="Kissimmee"/>
    <s v="Orlando"/>
    <n v="13.6"/>
    <m/>
  </r>
  <r>
    <n v="283"/>
    <d v="2016-03-29T18:20:00"/>
    <x v="2"/>
    <d v="2016-03-29T18:39:00"/>
    <s v="03"/>
    <s v="Personal"/>
    <s v="Sand Lake Commons"/>
    <s v="Sky Lake"/>
    <n v="6.2"/>
    <m/>
  </r>
  <r>
    <n v="284"/>
    <d v="2016-03-29T20:29:00"/>
    <x v="2"/>
    <d v="2016-03-29T20:44:00"/>
    <s v="03"/>
    <s v="Personal"/>
    <s v="Sky Lake"/>
    <s v="Sand Lake Commons"/>
    <n v="6"/>
    <m/>
  </r>
  <r>
    <n v="285"/>
    <d v="2016-03-29T23:04:00"/>
    <x v="2"/>
    <d v="2016-03-29T23:21:00"/>
    <s v="03"/>
    <s v="Personal"/>
    <s v="Orlando"/>
    <s v="Kissimmee"/>
    <n v="13.8"/>
    <m/>
  </r>
  <r>
    <n v="286"/>
    <d v="2016-03-30T22:05:00"/>
    <x v="2"/>
    <d v="2016-03-30T22:55:00"/>
    <s v="03"/>
    <s v="Business"/>
    <s v="Orlando"/>
    <s v="Kissimmee"/>
    <n v="28.8"/>
    <s v="Meal/Entertain"/>
  </r>
  <r>
    <n v="287"/>
    <d v="2016-03-31T12:47:00"/>
    <x v="2"/>
    <d v="2016-03-31T13:22:00"/>
    <s v="03"/>
    <s v="Business"/>
    <s v="Kissimmee"/>
    <s v="Orlando"/>
    <n v="16.100000000000001"/>
    <s v="Temporary Site"/>
  </r>
  <r>
    <n v="288"/>
    <d v="2016-03-31T14:37:00"/>
    <x v="2"/>
    <d v="2016-03-31T15:09:00"/>
    <s v="03"/>
    <s v="Business"/>
    <s v="Orlando"/>
    <s v="Kissimmee"/>
    <n v="16.399999999999999"/>
    <s v="Meal/Entertain"/>
  </r>
  <r>
    <n v="289"/>
    <d v="2016-04-01T13:43:00"/>
    <x v="3"/>
    <d v="2016-04-01T14:01:00"/>
    <s v="04"/>
    <s v="Business"/>
    <s v="Kissimmee"/>
    <s v="Kissimmee"/>
    <n v="11"/>
    <s v="Meeting"/>
  </r>
  <r>
    <n v="290"/>
    <d v="2016-04-01T14:36:00"/>
    <x v="3"/>
    <d v="2016-04-01T15:24:00"/>
    <s v="04"/>
    <s v="Business"/>
    <s v="Kissimmee"/>
    <s v="Orlando"/>
    <n v="15.5"/>
    <s v="Customer Visit"/>
  </r>
  <r>
    <n v="291"/>
    <d v="2016-04-01T16:01:00"/>
    <x v="3"/>
    <d v="2016-04-01T16:49:00"/>
    <s v="04"/>
    <s v="Business"/>
    <s v="Orlando"/>
    <s v="Kissimmee"/>
    <n v="20.3"/>
    <s v="Meeting"/>
  </r>
  <r>
    <n v="292"/>
    <d v="2016-04-01T16:52:00"/>
    <x v="3"/>
    <d v="2016-04-01T16:57:00"/>
    <s v="04"/>
    <s v="Personal"/>
    <s v="Kissimmee"/>
    <s v="Kissimmee"/>
    <n v="0.7"/>
    <m/>
  </r>
  <r>
    <n v="293"/>
    <d v="2016-04-02T08:48:00"/>
    <x v="3"/>
    <d v="2016-04-02T09:04:00"/>
    <s v="04"/>
    <s v="Personal"/>
    <s v="Kissimmee"/>
    <s v="Kissimmee"/>
    <n v="5.5"/>
    <m/>
  </r>
  <r>
    <n v="294"/>
    <d v="2016-04-02T11:01:00"/>
    <x v="3"/>
    <d v="2016-04-02T11:16:00"/>
    <s v="04"/>
    <s v="Personal"/>
    <s v="Kissimmee"/>
    <s v="Kissimmee"/>
    <n v="5.0999999999999996"/>
    <m/>
  </r>
  <r>
    <n v="295"/>
    <d v="2016-04-02T12:21:00"/>
    <x v="3"/>
    <d v="2016-04-02T14:47:00"/>
    <s v="04"/>
    <s v="Business"/>
    <s v="Kissimmee"/>
    <s v="Daytona Beach"/>
    <n v="77.3"/>
    <s v="Customer Visit"/>
  </r>
  <r>
    <n v="296"/>
    <d v="2016-04-02T16:57:00"/>
    <x v="3"/>
    <d v="2016-04-02T18:09:00"/>
    <s v="04"/>
    <s v="Business"/>
    <s v="Daytona Beach"/>
    <s v="Jacksonville"/>
    <n v="80.5"/>
    <s v="Customer Visit"/>
  </r>
  <r>
    <n v="297"/>
    <d v="2016-04-02T19:38:00"/>
    <x v="3"/>
    <d v="2016-04-02T22:36:00"/>
    <s v="04"/>
    <s v="Business"/>
    <s v="Jacksonville"/>
    <s v="Ridgeland"/>
    <n v="174.2"/>
    <s v="Customer Visit"/>
  </r>
  <r>
    <n v="298"/>
    <d v="2016-04-02T23:11:00"/>
    <x v="3"/>
    <d v="2016-04-03T01:34:00"/>
    <s v="04"/>
    <s v="Business"/>
    <s v="Ridgeland"/>
    <s v="Florence"/>
    <n v="144"/>
    <s v="Meeting"/>
  </r>
  <r>
    <n v="299"/>
    <d v="2016-04-03T02:00:00"/>
    <x v="3"/>
    <d v="2016-04-03T04:16:00"/>
    <s v="04"/>
    <s v="Business"/>
    <s v="Florence"/>
    <s v="Cary"/>
    <n v="159.30000000000001"/>
    <s v="Meeting"/>
  </r>
  <r>
    <n v="300"/>
    <d v="2016-04-05T21:39:00"/>
    <x v="3"/>
    <d v="2016-04-05T21:55:00"/>
    <s v="04"/>
    <s v="Business"/>
    <s v="Whitebridge"/>
    <s v="Wayne Ridge"/>
    <n v="7.9"/>
    <s v="Meal/Entertain"/>
  </r>
  <r>
    <n v="301"/>
    <d v="2016-04-06T00:19:00"/>
    <x v="3"/>
    <d v="2016-04-06T00:39:00"/>
    <s v="04"/>
    <s v="Business"/>
    <s v="Wayne Ridge"/>
    <s v="Whitebridge"/>
    <n v="8"/>
    <s v="Meal/Entertain"/>
  </r>
  <r>
    <n v="302"/>
    <d v="2016-04-07T18:20:00"/>
    <x v="3"/>
    <d v="2016-04-07T18:39:00"/>
    <s v="04"/>
    <s v="Business"/>
    <s v="Cary"/>
    <s v="Morrisville"/>
    <n v="6.1"/>
    <s v="Meal/Entertain"/>
  </r>
  <r>
    <n v="303"/>
    <d v="2016-04-07T19:45:00"/>
    <x v="3"/>
    <d v="2016-04-07T20:00:00"/>
    <s v="04"/>
    <s v="Business"/>
    <s v="Morrisville"/>
    <s v="Cary"/>
    <n v="6.1"/>
    <s v="Errand/Supplies"/>
  </r>
  <r>
    <n v="304"/>
    <d v="2016-04-08T12:30:00"/>
    <x v="3"/>
    <d v="2016-04-08T12:48:00"/>
    <s v="04"/>
    <s v="Business"/>
    <s v="Cary"/>
    <s v="Durham"/>
    <n v="10.5"/>
    <s v="Meeting"/>
  </r>
  <r>
    <n v="305"/>
    <d v="2016-04-08T13:34:00"/>
    <x v="3"/>
    <d v="2016-04-08T13:51:00"/>
    <s v="04"/>
    <s v="Business"/>
    <s v="Durham"/>
    <s v="Cary"/>
    <n v="8.6999999999999993"/>
    <s v="Meal/Entertain"/>
  </r>
  <r>
    <n v="306"/>
    <d v="2016-04-08T13:55:00"/>
    <x v="3"/>
    <d v="2016-04-08T14:03:00"/>
    <s v="04"/>
    <s v="Business"/>
    <s v="Westpark Place"/>
    <s v="Whitebridge"/>
    <n v="1.8"/>
    <s v="Errand/Supplies"/>
  </r>
  <r>
    <n v="307"/>
    <d v="2016-04-08T14:43:00"/>
    <x v="3"/>
    <d v="2016-04-08T15:20:00"/>
    <s v="04"/>
    <s v="Business"/>
    <s v="Cary"/>
    <s v="Raleigh"/>
    <n v="19.100000000000001"/>
    <s v="Meeting"/>
  </r>
  <r>
    <n v="308"/>
    <d v="2016-04-08T16:05:00"/>
    <x v="3"/>
    <d v="2016-04-08T16:47:00"/>
    <s v="04"/>
    <s v="Business"/>
    <s v="Raleigh"/>
    <s v="Cary"/>
    <n v="18.600000000000001"/>
    <s v="Meeting"/>
  </r>
  <r>
    <n v="309"/>
    <d v="2016-04-12T09:15:00"/>
    <x v="3"/>
    <d v="2016-04-12T09:26:00"/>
    <s v="04"/>
    <s v="Business"/>
    <s v="Whitebridge"/>
    <s v="Edgehill Farms"/>
    <n v="2.8"/>
    <s v="Errand/Supplies"/>
  </r>
  <r>
    <n v="310"/>
    <d v="2016-04-12T09:34:00"/>
    <x v="3"/>
    <d v="2016-04-12T09:53:00"/>
    <s v="04"/>
    <s v="Business"/>
    <s v="Cary"/>
    <s v="Raleigh"/>
    <n v="8.9"/>
    <s v="Meeting"/>
  </r>
  <r>
    <n v="311"/>
    <d v="2016-04-12T10:58:00"/>
    <x v="3"/>
    <d v="2016-04-12T11:18:00"/>
    <s v="04"/>
    <s v="Business"/>
    <s v="Meredith"/>
    <s v="Cedar Hill"/>
    <n v="7.5"/>
    <s v="Customer Visit"/>
  </r>
  <r>
    <n v="312"/>
    <d v="2016-04-12T12:22:00"/>
    <x v="3"/>
    <d v="2016-04-12T12:44:00"/>
    <s v="04"/>
    <s v="Business"/>
    <s v="Raleigh"/>
    <s v="Morrisville"/>
    <n v="15.9"/>
    <s v="Meeting"/>
  </r>
  <r>
    <n v="313"/>
    <d v="2016-04-12T13:42:00"/>
    <x v="3"/>
    <d v="2016-04-12T14:01:00"/>
    <s v="04"/>
    <s v="Business"/>
    <s v="Morrisville"/>
    <s v="Cary"/>
    <n v="6.5"/>
    <s v="Meal/Entertain"/>
  </r>
  <r>
    <n v="314"/>
    <d v="2016-04-14T07:29:00"/>
    <x v="3"/>
    <d v="2016-04-14T08:09:00"/>
    <s v="04"/>
    <s v="Business"/>
    <s v="Cary"/>
    <s v="Holly Springs"/>
    <n v="15.3"/>
    <s v="Temporary Site"/>
  </r>
  <r>
    <n v="315"/>
    <d v="2016-04-14T16:00:00"/>
    <x v="3"/>
    <d v="2016-04-14T16:43:00"/>
    <s v="04"/>
    <s v="Business"/>
    <s v="Holly Springs"/>
    <s v="Cary"/>
    <n v="13.7"/>
    <s v="Temporary Site"/>
  </r>
  <r>
    <n v="316"/>
    <d v="2016-04-15T11:36:00"/>
    <x v="3"/>
    <d v="2016-04-15T12:07:00"/>
    <s v="04"/>
    <s v="Business"/>
    <s v="Cary"/>
    <s v="Raleigh"/>
    <n v="11.9"/>
    <s v="Temporary Site"/>
  </r>
  <r>
    <n v="317"/>
    <d v="2016-04-15T12:29:00"/>
    <x v="3"/>
    <d v="2016-04-15T12:32:00"/>
    <s v="04"/>
    <s v="Business"/>
    <s v="Meredith Townes"/>
    <s v="Harden Place"/>
    <n v="1.4"/>
    <s v="Errand/Supplies"/>
  </r>
  <r>
    <n v="318"/>
    <d v="2016-04-15T14:31:00"/>
    <x v="3"/>
    <d v="2016-04-15T15:01:00"/>
    <s v="04"/>
    <s v="Business"/>
    <s v="Raleigh"/>
    <s v="Cary"/>
    <n v="15.2"/>
    <s v="Meeting"/>
  </r>
  <r>
    <n v="319"/>
    <d v="2016-04-16T12:59:00"/>
    <x v="3"/>
    <d v="2016-04-16T13:17:00"/>
    <s v="04"/>
    <s v="Business"/>
    <s v="Cary"/>
    <s v="Morrisville"/>
    <n v="6"/>
    <s v="Errand/Supplies"/>
  </r>
  <r>
    <n v="320"/>
    <d v="2016-04-16T15:10:00"/>
    <x v="3"/>
    <d v="2016-04-16T15:26:00"/>
    <s v="04"/>
    <s v="Business"/>
    <s v="Morrisville"/>
    <s v="Cary"/>
    <n v="6.1"/>
    <s v="Meal/Entertain"/>
  </r>
  <r>
    <n v="321"/>
    <d v="2016-04-19T17:44:00"/>
    <x v="3"/>
    <d v="2016-04-19T18:08:00"/>
    <s v="04"/>
    <s v="Business"/>
    <s v="Whitebridge"/>
    <s v="Wayne Ridge"/>
    <n v="8.1999999999999993"/>
    <s v="Meal/Entertain"/>
  </r>
  <r>
    <n v="322"/>
    <d v="2016-04-19T19:57:00"/>
    <x v="3"/>
    <d v="2016-04-19T20:19:00"/>
    <s v="04"/>
    <s v="Business"/>
    <s v="Wayne Ridge"/>
    <s v="Whitebridge"/>
    <n v="8"/>
    <s v="Meal/Entertain"/>
  </r>
  <r>
    <n v="323"/>
    <d v="2016-04-22T08:25:00"/>
    <x v="3"/>
    <d v="2016-04-22T09:04:00"/>
    <s v="04"/>
    <s v="Business"/>
    <s v="Cary"/>
    <s v="Raleigh"/>
    <n v="13.6"/>
    <s v="Meeting"/>
  </r>
  <r>
    <n v="324"/>
    <d v="2016-04-22T10:10:00"/>
    <x v="3"/>
    <d v="2016-04-22T10:40:00"/>
    <s v="04"/>
    <s v="Business"/>
    <s v="Raleigh"/>
    <s v="Cary"/>
    <n v="22.5"/>
    <s v="Meeting"/>
  </r>
  <r>
    <n v="325"/>
    <d v="2016-04-22T12:08:00"/>
    <x v="3"/>
    <d v="2016-04-22T12:28:00"/>
    <s v="04"/>
    <s v="Business"/>
    <s v="Cary"/>
    <s v="Durham"/>
    <n v="10.4"/>
    <s v="Meeting"/>
  </r>
  <r>
    <n v="326"/>
    <d v="2016-04-22T13:02:00"/>
    <x v="3"/>
    <d v="2016-04-22T13:26:00"/>
    <s v="04"/>
    <s v="Business"/>
    <s v="Durham"/>
    <s v="Cary"/>
    <n v="10"/>
    <s v="Meeting"/>
  </r>
  <r>
    <n v="327"/>
    <d v="2016-04-23T17:03:00"/>
    <x v="3"/>
    <d v="2016-04-23T17:16:00"/>
    <s v="04"/>
    <s v="Business"/>
    <s v="Whitebridge"/>
    <s v="Tanglewood"/>
    <n v="6"/>
    <s v="Meal/Entertain"/>
  </r>
  <r>
    <n v="328"/>
    <d v="2016-04-23T18:49:00"/>
    <x v="3"/>
    <d v="2016-04-23T19:05:00"/>
    <s v="04"/>
    <s v="Business"/>
    <s v="Tanglewood"/>
    <s v="Whitebridge"/>
    <n v="6.5"/>
    <s v="Meal/Entertain"/>
  </r>
  <r>
    <n v="329"/>
    <d v="2016-04-24T19:07:00"/>
    <x v="3"/>
    <d v="2016-04-24T19:16:00"/>
    <s v="04"/>
    <s v="Business"/>
    <s v="Cary"/>
    <s v="Morrisville"/>
    <n v="3.1"/>
    <s v="Errand/Supplies"/>
  </r>
  <r>
    <n v="330"/>
    <d v="2016-04-24T19:46:00"/>
    <x v="3"/>
    <d v="2016-04-24T19:52:00"/>
    <s v="04"/>
    <s v="Business"/>
    <s v="Chessington"/>
    <s v="Chessington"/>
    <n v="1.9"/>
    <s v="Errand/Supplies"/>
  </r>
  <r>
    <n v="331"/>
    <d v="2016-04-24T21:41:00"/>
    <x v="3"/>
    <d v="2016-04-24T21:50:00"/>
    <s v="04"/>
    <s v="Business"/>
    <s v="Morrisville"/>
    <s v="Cary"/>
    <n v="4.2"/>
    <s v="Between Offices"/>
  </r>
  <r>
    <n v="332"/>
    <d v="2016-04-27T13:30:00"/>
    <x v="3"/>
    <d v="2016-04-27T13:40:00"/>
    <s v="04"/>
    <s v="Business"/>
    <s v="Whitebridge"/>
    <s v="Burtrose"/>
    <n v="4.9000000000000004"/>
    <s v="Between Offices"/>
  </r>
  <r>
    <n v="333"/>
    <d v="2016-04-27T14:13:00"/>
    <x v="3"/>
    <d v="2016-04-27T14:25:00"/>
    <s v="04"/>
    <s v="Business"/>
    <s v="Burtrose"/>
    <s v="Whitebridge"/>
    <n v="4.8"/>
    <s v="Between Offices"/>
  </r>
  <r>
    <n v="334"/>
    <d v="2016-04-28T12:09:00"/>
    <x v="3"/>
    <d v="2016-04-28T12:34:00"/>
    <s v="04"/>
    <s v="Business"/>
    <s v="Cary"/>
    <s v="Raleigh"/>
    <n v="12.4"/>
    <s v="Customer Visit"/>
  </r>
  <r>
    <n v="335"/>
    <d v="2016-04-28T13:30:00"/>
    <x v="3"/>
    <d v="2016-04-28T13:49:00"/>
    <s v="04"/>
    <s v="Business"/>
    <s v="Raleigh"/>
    <s v="Cary"/>
    <n v="32.799999999999997"/>
    <s v="Customer Visit"/>
  </r>
  <r>
    <n v="336"/>
    <d v="2016-04-28T22:10:00"/>
    <x v="3"/>
    <d v="2016-04-28T22:28:00"/>
    <s v="04"/>
    <s v="Business"/>
    <s v="Morrisville"/>
    <s v="Cary"/>
    <n v="5.5"/>
    <s v="Customer Visit"/>
  </r>
  <r>
    <n v="337"/>
    <d v="2016-04-29T11:44:00"/>
    <x v="3"/>
    <d v="2016-04-29T12:01:00"/>
    <s v="04"/>
    <s v="Business"/>
    <s v="Cary"/>
    <s v="Durham"/>
    <n v="9.9"/>
    <s v="Meeting"/>
  </r>
  <r>
    <n v="338"/>
    <d v="2016-04-29T13:13:00"/>
    <x v="3"/>
    <d v="2016-04-29T13:34:00"/>
    <s v="04"/>
    <s v="Business"/>
    <s v="Durham"/>
    <s v="Cary"/>
    <n v="10"/>
    <s v="Meeting"/>
  </r>
  <r>
    <n v="339"/>
    <d v="2016-04-29T18:46:00"/>
    <x v="3"/>
    <d v="2016-04-29T19:18:00"/>
    <s v="04"/>
    <s v="Business"/>
    <s v="Cary"/>
    <s v="Durham"/>
    <n v="14.2"/>
    <s v="Customer Visit"/>
  </r>
  <r>
    <n v="340"/>
    <d v="2016-04-29T22:44:00"/>
    <x v="3"/>
    <d v="2016-04-29T23:19:00"/>
    <s v="04"/>
    <s v="Business"/>
    <s v="Durham"/>
    <s v="Cary"/>
    <n v="18.2"/>
    <s v="Meeting"/>
  </r>
  <r>
    <n v="341"/>
    <d v="2016-04-30T18:42:00"/>
    <x v="3"/>
    <d v="2016-04-30T18:57:00"/>
    <s v="04"/>
    <s v="Business"/>
    <s v="Whitebridge"/>
    <s v="Waverly Place"/>
    <n v="7.7"/>
    <s v="Meal/Entertain"/>
  </r>
  <r>
    <n v="342"/>
    <d v="2016-04-30T22:16:00"/>
    <x v="3"/>
    <d v="2016-04-30T22:34:00"/>
    <s v="04"/>
    <s v="Business"/>
    <s v="Waverly Place"/>
    <s v="Whitebridge"/>
    <n v="6.8"/>
    <m/>
  </r>
  <r>
    <n v="343"/>
    <d v="2016-05-01T13:45:00"/>
    <x v="4"/>
    <d v="2016-05-01T13:53:00"/>
    <s v="05"/>
    <s v="Business"/>
    <s v="Whitebridge"/>
    <s v="Westpark Place"/>
    <n v="2.1"/>
    <s v="Meal/Entertain"/>
  </r>
  <r>
    <n v="344"/>
    <d v="2016-05-01T14:26:00"/>
    <x v="4"/>
    <d v="2016-05-01T14:31:00"/>
    <s v="05"/>
    <s v="Business"/>
    <s v="Westpark Place"/>
    <s v="Whitebridge"/>
    <n v="2.2999999999999998"/>
    <m/>
  </r>
  <r>
    <n v="345"/>
    <d v="2016-05-01T17:33:00"/>
    <x v="4"/>
    <d v="2016-05-01T17:45:00"/>
    <s v="05"/>
    <s v="Business"/>
    <s v="Whitebridge"/>
    <s v="Tanglewood"/>
    <n v="6.2"/>
    <s v="Between Offices"/>
  </r>
  <r>
    <n v="346"/>
    <d v="2016-05-01T17:54:00"/>
    <x v="4"/>
    <d v="2016-05-01T18:10:00"/>
    <s v="05"/>
    <s v="Business"/>
    <s v="Tanglewood"/>
    <s v="Parkway"/>
    <n v="7.5"/>
    <s v="Meeting"/>
  </r>
  <r>
    <n v="347"/>
    <d v="2016-05-01T22:38:00"/>
    <x v="4"/>
    <d v="2016-05-01T22:49:00"/>
    <s v="05"/>
    <s v="Business"/>
    <s v="Parkway"/>
    <s v="Whitebridge"/>
    <n v="3.1"/>
    <s v="Errand/Supplies"/>
  </r>
  <r>
    <n v="348"/>
    <d v="2016-05-02T14:14:00"/>
    <x v="4"/>
    <d v="2016-05-02T14:21:00"/>
    <s v="05"/>
    <s v="Business"/>
    <s v="Whitebridge"/>
    <s v="Westpark Place"/>
    <n v="2.2000000000000002"/>
    <s v="Errand/Supplies"/>
  </r>
  <r>
    <n v="349"/>
    <d v="2016-05-02T15:37:00"/>
    <x v="4"/>
    <d v="2016-05-02T15:48:00"/>
    <s v="05"/>
    <s v="Business"/>
    <s v="Westpark Place"/>
    <s v="Whitebridge"/>
    <n v="3.9"/>
    <s v="Meal/Entertain"/>
  </r>
  <r>
    <n v="350"/>
    <d v="2016-05-03T22:20:00"/>
    <x v="4"/>
    <d v="2016-05-03T22:28:00"/>
    <s v="05"/>
    <s v="Business"/>
    <s v="Morrisville"/>
    <s v="Cary"/>
    <n v="2.5"/>
    <s v="Meal/Entertain"/>
  </r>
  <r>
    <n v="351"/>
    <d v="2016-05-04T15:16:00"/>
    <x v="4"/>
    <d v="2016-05-04T15:37:00"/>
    <s v="05"/>
    <s v="Business"/>
    <s v="Cary"/>
    <s v="Morrisville"/>
    <n v="8.6999999999999993"/>
    <s v="Meal/Entertain"/>
  </r>
  <r>
    <n v="352"/>
    <d v="2016-05-04T20:55:00"/>
    <x v="4"/>
    <d v="2016-05-04T21:14:00"/>
    <s v="05"/>
    <s v="Business"/>
    <s v="Mcvan"/>
    <s v="Capitol One"/>
    <n v="14.5"/>
    <s v="Errand/Supplies"/>
  </r>
  <r>
    <n v="353"/>
    <d v="2016-05-04T21:30:00"/>
    <x v="4"/>
    <d v="2016-05-04T21:36:00"/>
    <s v="05"/>
    <s v="Business"/>
    <s v="Capitol One"/>
    <s v="University District"/>
    <n v="4.5"/>
    <s v="Meal/Entertain"/>
  </r>
  <r>
    <n v="354"/>
    <d v="2016-05-04T22:19:00"/>
    <x v="4"/>
    <d v="2016-05-04T22:27:00"/>
    <s v="05"/>
    <s v="Business"/>
    <s v="University District"/>
    <s v="Capitol One"/>
    <n v="5"/>
    <s v="Meal/Entertain"/>
  </r>
  <r>
    <n v="355"/>
    <d v="2016-05-05T21:24:00"/>
    <x v="4"/>
    <d v="2016-05-05T21:36:00"/>
    <s v="05"/>
    <s v="Business"/>
    <s v="Seattle"/>
    <s v="Redmond"/>
    <n v="14.2"/>
    <s v="Meal/Entertain"/>
  </r>
  <r>
    <n v="356"/>
    <d v="2016-05-05T22:34:00"/>
    <x v="4"/>
    <d v="2016-05-05T22:40:00"/>
    <s v="05"/>
    <s v="Business"/>
    <s v="Redmond"/>
    <s v="Bellevue"/>
    <n v="2.9"/>
    <s v="Errand/Supplies"/>
  </r>
  <r>
    <n v="357"/>
    <d v="2016-05-05T23:55:00"/>
    <x v="4"/>
    <d v="2016-05-06T00:08:00"/>
    <s v="05"/>
    <s v="Business"/>
    <s v="Bellevue"/>
    <s v="Seattle"/>
    <n v="12.9"/>
    <s v="Meeting"/>
  </r>
  <r>
    <n v="358"/>
    <d v="2016-05-06T05:47:00"/>
    <x v="4"/>
    <d v="2016-05-06T06:02:00"/>
    <s v="05"/>
    <s v="Business"/>
    <s v="Capitol One"/>
    <s v="Mcvan"/>
    <n v="14.4"/>
    <s v="Meeting"/>
  </r>
  <r>
    <n v="359"/>
    <d v="2016-05-06T16:45:00"/>
    <x v="4"/>
    <d v="2016-05-06T16:59:00"/>
    <s v="05"/>
    <s v="Business"/>
    <s v="Chapel Hill"/>
    <s v="Morrisville"/>
    <n v="17"/>
    <s v="Meeting"/>
  </r>
  <r>
    <n v="360"/>
    <d v="2016-05-06T17:18:00"/>
    <x v="4"/>
    <d v="2016-05-06T17:44:00"/>
    <s v="05"/>
    <s v="Business"/>
    <s v="Morrisville"/>
    <s v="Cary"/>
    <n v="7.9"/>
    <s v="Customer Visit"/>
  </r>
  <r>
    <n v="361"/>
    <d v="2016-05-09T06:08:00"/>
    <x v="4"/>
    <d v="2016-05-09T06:25:00"/>
    <s v="05"/>
    <s v="Business"/>
    <s v="Cary"/>
    <s v="Morrisville"/>
    <n v="8.4"/>
    <s v="Customer Visit"/>
  </r>
  <r>
    <n v="362"/>
    <d v="2016-05-09T14:39:00"/>
    <x v="4"/>
    <d v="2016-05-09T15:06:00"/>
    <s v="05"/>
    <s v="Business"/>
    <s v="San Francisco"/>
    <s v="Palo Alto"/>
    <n v="20.5"/>
    <s v="Between Offices"/>
  </r>
  <r>
    <n v="363"/>
    <d v="2016-05-09T17:58:00"/>
    <x v="4"/>
    <d v="2016-05-09T18:26:00"/>
    <s v="05"/>
    <s v="Business"/>
    <s v="Palo Alto"/>
    <s v="Sunnyvale"/>
    <n v="9.8000000000000007"/>
    <s v="Customer Visit"/>
  </r>
  <r>
    <n v="364"/>
    <d v="2016-05-09T19:35:00"/>
    <x v="4"/>
    <d v="2016-05-09T19:59:00"/>
    <s v="05"/>
    <s v="Business"/>
    <s v="Sunnyvale"/>
    <s v="Newark"/>
    <n v="17.600000000000001"/>
    <s v="Customer Visit"/>
  </r>
  <r>
    <n v="365"/>
    <d v="2016-05-10T09:03:00"/>
    <x v="4"/>
    <d v="2016-05-10T09:20:00"/>
    <s v="05"/>
    <s v="Business"/>
    <s v="Newark"/>
    <s v="Menlo Park"/>
    <n v="9.3000000000000007"/>
    <s v="Customer Visit"/>
  </r>
  <r>
    <n v="366"/>
    <d v="2016-05-10T17:19:00"/>
    <x v="4"/>
    <d v="2016-05-10T17:31:00"/>
    <s v="05"/>
    <s v="Business"/>
    <s v="Menlo Park"/>
    <s v="Newark"/>
    <n v="7.9"/>
    <s v="Customer Visit"/>
  </r>
  <r>
    <n v="367"/>
    <d v="2016-05-11T08:35:00"/>
    <x v="4"/>
    <d v="2016-05-11T09:12:00"/>
    <s v="05"/>
    <s v="Business"/>
    <s v="Newark"/>
    <s v="San Francisco"/>
    <n v="25.6"/>
    <s v="Meeting"/>
  </r>
  <r>
    <n v="368"/>
    <d v="2016-05-11T21:47:00"/>
    <x v="4"/>
    <d v="2016-05-11T22:04:00"/>
    <s v="05"/>
    <s v="Business"/>
    <s v="Morrisville"/>
    <s v="Cary"/>
    <n v="8.1"/>
    <s v="Meeting"/>
  </r>
  <r>
    <n v="369"/>
    <d v="2016-05-14T18:35:00"/>
    <x v="4"/>
    <d v="2016-05-14T18:39:00"/>
    <s v="05"/>
    <s v="Business"/>
    <s v="Cary"/>
    <s v="Morrisville"/>
    <n v="3.1"/>
    <s v="Meal/Entertain"/>
  </r>
  <r>
    <n v="370"/>
    <d v="2016-05-14T23:01:00"/>
    <x v="4"/>
    <d v="2016-05-14T23:05:00"/>
    <s v="05"/>
    <s v="Business"/>
    <s v="Morrisville"/>
    <s v="Cary"/>
    <n v="3.1"/>
    <s v="Meal/Entertain"/>
  </r>
  <r>
    <n v="371"/>
    <d v="2016-05-17T13:15:00"/>
    <x v="4"/>
    <d v="2016-05-17T13:23:00"/>
    <s v="05"/>
    <s v="Business"/>
    <s v="Whitebridge"/>
    <s v="Preston"/>
    <n v="2.8"/>
    <s v="Errand/Supplies"/>
  </r>
  <r>
    <n v="372"/>
    <d v="2016-05-17T13:56:00"/>
    <x v="4"/>
    <d v="2016-05-17T14:08:00"/>
    <s v="05"/>
    <s v="Business"/>
    <s v="Preston"/>
    <s v="Westpark Place"/>
    <n v="2.7"/>
    <s v="Errand/Supplies"/>
  </r>
  <r>
    <n v="373"/>
    <d v="2016-05-17T14:34:00"/>
    <x v="4"/>
    <d v="2016-05-17T14:40:00"/>
    <s v="05"/>
    <s v="Business"/>
    <s v="Westpark Place"/>
    <s v="Whitebridge"/>
    <n v="1.9"/>
    <s v="Errand/Supplies"/>
  </r>
  <r>
    <n v="374"/>
    <d v="2016-05-18T09:11:00"/>
    <x v="4"/>
    <d v="2016-05-18T09:41:00"/>
    <s v="05"/>
    <s v="Business"/>
    <s v="Cary"/>
    <s v="Morrisville"/>
    <n v="8.4"/>
    <s v="Customer Visit"/>
  </r>
  <r>
    <n v="375"/>
    <d v="2016-05-18T13:00:00"/>
    <x v="4"/>
    <d v="2016-05-18T13:02:00"/>
    <s v="05"/>
    <s v="Business"/>
    <s v="Morrisville"/>
    <s v="Raleigh"/>
    <n v="7.6"/>
    <s v="Customer Visit"/>
  </r>
  <r>
    <n v="376"/>
    <d v="2016-05-19T14:37:00"/>
    <x v="4"/>
    <d v="2016-05-19T15:01:00"/>
    <s v="05"/>
    <s v="Business"/>
    <s v="Old City"/>
    <s v="Parkway Museums"/>
    <n v="2.9"/>
    <s v="Meal/Entertain"/>
  </r>
  <r>
    <n v="377"/>
    <d v="2016-05-20T10:56:00"/>
    <x v="4"/>
    <d v="2016-05-20T11:07:00"/>
    <s v="05"/>
    <s v="Business"/>
    <s v="Old City"/>
    <s v="Hog Island"/>
    <n v="11.2"/>
    <s v="Meeting"/>
  </r>
  <r>
    <n v="378"/>
    <d v="2016-05-20T15:43:00"/>
    <x v="4"/>
    <d v="2016-05-20T16:12:00"/>
    <s v="05"/>
    <s v="Business"/>
    <s v="Morrisville"/>
    <s v="Cary"/>
    <n v="8.1999999999999993"/>
    <s v="Meal/Entertain"/>
  </r>
  <r>
    <n v="379"/>
    <d v="2016-05-22T15:39:00"/>
    <x v="4"/>
    <d v="2016-05-22T15:46:00"/>
    <s v="05"/>
    <s v="Business"/>
    <s v="Cary"/>
    <s v="Morrisville"/>
    <n v="3"/>
    <s v="Meal/Entertain"/>
  </r>
  <r>
    <n v="380"/>
    <d v="2016-05-22T18:46:00"/>
    <x v="4"/>
    <d v="2016-05-22T18:53:00"/>
    <s v="05"/>
    <s v="Business"/>
    <s v="Morrisville"/>
    <s v="Cary"/>
    <n v="2.5"/>
    <s v="Meal/Entertain"/>
  </r>
  <r>
    <n v="381"/>
    <d v="2016-05-23T20:19:00"/>
    <x v="4"/>
    <d v="2016-05-23T20:27:00"/>
    <s v="05"/>
    <s v="Business"/>
    <s v="Whitebridge"/>
    <s v="Savon Height"/>
    <n v="3.6"/>
    <s v="Meal/Entertain"/>
  </r>
  <r>
    <n v="382"/>
    <d v="2016-05-23T21:09:00"/>
    <x v="4"/>
    <d v="2016-05-23T21:21:00"/>
    <s v="05"/>
    <s v="Business"/>
    <s v="Savon Height"/>
    <s v="Whitebridge"/>
    <n v="3.6"/>
    <s v="Errand/Supplies"/>
  </r>
  <r>
    <n v="383"/>
    <d v="2016-05-27T20:26:00"/>
    <x v="4"/>
    <d v="2016-05-27T20:30:00"/>
    <s v="05"/>
    <s v="Business"/>
    <s v="Whitebridge"/>
    <s v="Kildaire Farms"/>
    <n v="4.5"/>
    <s v="Errand/Supplies"/>
  </r>
  <r>
    <n v="384"/>
    <d v="2016-05-27T20:47:00"/>
    <x v="4"/>
    <d v="2016-05-27T20:53:00"/>
    <s v="05"/>
    <s v="Business"/>
    <s v="Savon Height"/>
    <s v="Kilarney Woods"/>
    <n v="1.2"/>
    <m/>
  </r>
  <r>
    <n v="385"/>
    <d v="2016-05-27T22:11:00"/>
    <x v="4"/>
    <d v="2016-05-27T22:14:00"/>
    <s v="05"/>
    <s v="Business"/>
    <s v="Kilarney Woods"/>
    <s v="Kildaire Farms"/>
    <n v="1.7"/>
    <s v="Errand/Supplies"/>
  </r>
  <r>
    <n v="386"/>
    <d v="2016-05-28T00:15:00"/>
    <x v="4"/>
    <d v="2016-05-28T00:21:00"/>
    <s v="05"/>
    <s v="Business"/>
    <s v="Kilarney Woods"/>
    <s v="Whitebridge"/>
    <n v="4.7"/>
    <s v="Errand/Supplies"/>
  </r>
  <r>
    <n v="387"/>
    <d v="2016-05-28T12:52:00"/>
    <x v="4"/>
    <d v="2016-05-28T13:06:00"/>
    <s v="05"/>
    <s v="Business"/>
    <s v="Cary"/>
    <s v="Morrisville"/>
    <n v="6.1"/>
    <s v="Meal/Entertain"/>
  </r>
  <r>
    <n v="388"/>
    <d v="2016-05-28T14:35:00"/>
    <x v="4"/>
    <d v="2016-05-28T15:04:00"/>
    <s v="05"/>
    <s v="Business"/>
    <s v="Morrisville"/>
    <s v="Cary"/>
    <n v="11.3"/>
    <s v="Customer Visit"/>
  </r>
  <r>
    <n v="389"/>
    <d v="2016-05-31T13:54:00"/>
    <x v="4"/>
    <d v="2016-05-31T14:41:00"/>
    <s v="05"/>
    <s v="Business"/>
    <s v="Cary"/>
    <s v="Raleigh"/>
    <n v="14.9"/>
    <s v="Meeting"/>
  </r>
  <r>
    <n v="390"/>
    <d v="2016-05-31T16:02:00"/>
    <x v="4"/>
    <d v="2016-05-31T16:39:00"/>
    <s v="05"/>
    <s v="Business"/>
    <s v="Raleigh"/>
    <s v="Cary"/>
    <n v="14"/>
    <s v="Meeting"/>
  </r>
  <r>
    <n v="391"/>
    <d v="2016-05-31T17:50:00"/>
    <x v="4"/>
    <d v="2016-05-31T17:59:00"/>
    <s v="05"/>
    <s v="Business"/>
    <s v="Westpark Place"/>
    <s v="Whitebridge"/>
    <n v="1.8"/>
    <m/>
  </r>
  <r>
    <n v="392"/>
    <d v="2016-06-01T10:19:00"/>
    <x v="5"/>
    <d v="2016-06-01T10:47:00"/>
    <s v="06"/>
    <s v="Business"/>
    <s v="Cary"/>
    <s v="Morrisville"/>
    <n v="6.7"/>
    <s v="Customer Visit"/>
  </r>
  <r>
    <n v="393"/>
    <d v="2016-06-01T13:10:00"/>
    <x v="5"/>
    <d v="2016-06-01T13:39:00"/>
    <s v="06"/>
    <s v="Business"/>
    <s v="Morrisville"/>
    <s v="Cary"/>
    <n v="9.6"/>
    <s v="Meeting"/>
  </r>
  <r>
    <n v="394"/>
    <d v="2016-06-03T11:29:00"/>
    <x v="5"/>
    <d v="2016-06-03T11:49:00"/>
    <s v="06"/>
    <s v="Business"/>
    <s v="Cary"/>
    <s v="Durham"/>
    <n v="10.4"/>
    <s v="Meeting"/>
  </r>
  <r>
    <n v="395"/>
    <d v="2016-06-03T13:08:00"/>
    <x v="5"/>
    <d v="2016-06-03T13:38:00"/>
    <s v="06"/>
    <s v="Business"/>
    <s v="Durham"/>
    <s v="Cary"/>
    <n v="9.9"/>
    <s v="Meeting"/>
  </r>
  <r>
    <n v="396"/>
    <d v="2016-06-03T15:31:00"/>
    <x v="5"/>
    <d v="2016-06-03T15:54:00"/>
    <s v="06"/>
    <s v="Business"/>
    <s v="Cary"/>
    <s v="Morrisville"/>
    <n v="6"/>
    <s v="Meal/Entertain"/>
  </r>
  <r>
    <n v="397"/>
    <d v="2016-06-03T18:14:00"/>
    <x v="5"/>
    <d v="2016-06-03T18:29:00"/>
    <s v="06"/>
    <s v="Business"/>
    <s v="Townes at Everett Crossing"/>
    <s v="Chessington"/>
    <n v="3.3"/>
    <s v="Errand/Supplies"/>
  </r>
  <r>
    <n v="398"/>
    <d v="2016-06-03T18:41:00"/>
    <x v="5"/>
    <d v="2016-06-03T18:53:00"/>
    <s v="06"/>
    <s v="Business"/>
    <s v="Morrisville"/>
    <s v="Cary"/>
    <n v="3.1"/>
    <s v="Errand/Supplies"/>
  </r>
  <r>
    <n v="399"/>
    <d v="2016-06-03T19:36:00"/>
    <x v="5"/>
    <d v="2016-06-03T19:42:00"/>
    <s v="06"/>
    <s v="Business"/>
    <s v="Huntington Woods"/>
    <s v="Weston"/>
    <n v="1.7"/>
    <s v="Errand/Supplies"/>
  </r>
  <r>
    <n v="400"/>
    <d v="2016-06-03T22:47:00"/>
    <x v="5"/>
    <d v="2016-06-03T23:06:00"/>
    <s v="06"/>
    <s v="Business"/>
    <s v="Morrisville"/>
    <s v="Cary"/>
    <n v="4"/>
    <s v="Between Offices"/>
  </r>
  <r>
    <n v="401"/>
    <d v="2016-06-05T14:03:00"/>
    <x v="5"/>
    <d v="2016-06-05T14:33:00"/>
    <s v="06"/>
    <s v="Business"/>
    <s v="Whitebridge"/>
    <s v="Savon Height"/>
    <n v="7.8"/>
    <s v="Customer Visit"/>
  </r>
  <r>
    <n v="402"/>
    <d v="2016-06-05T15:06:00"/>
    <x v="5"/>
    <d v="2016-06-05T15:22:00"/>
    <s v="06"/>
    <s v="Business"/>
    <s v="Cary"/>
    <s v="Morrisville"/>
    <n v="7.8"/>
    <s v="Customer Visit"/>
  </r>
  <r>
    <n v="403"/>
    <d v="2016-06-05T15:57:00"/>
    <x v="5"/>
    <d v="2016-06-05T16:08:00"/>
    <s v="06"/>
    <s v="Business"/>
    <s v="Weston"/>
    <s v="Weston"/>
    <n v="3.8"/>
    <s v="Meal/Entertain"/>
  </r>
  <r>
    <n v="404"/>
    <d v="2016-06-05T18:05:00"/>
    <x v="5"/>
    <d v="2016-06-05T18:14:00"/>
    <s v="06"/>
    <s v="Business"/>
    <s v="Morrisville"/>
    <s v="Cary"/>
    <n v="2.5"/>
    <s v="Meal/Entertain"/>
  </r>
  <r>
    <n v="405"/>
    <d v="2016-06-05T21:53:00"/>
    <x v="5"/>
    <d v="2016-06-05T22:05:00"/>
    <s v="06"/>
    <s v="Business"/>
    <s v="Cary"/>
    <s v="Durham"/>
    <n v="9.9"/>
    <s v="Meeting"/>
  </r>
  <r>
    <n v="406"/>
    <d v="2016-06-05T23:52:00"/>
    <x v="5"/>
    <d v="2016-06-06T00:08:00"/>
    <s v="06"/>
    <s v="Business"/>
    <s v="Durham"/>
    <s v="Cary"/>
    <n v="9.9"/>
    <s v="Meeting"/>
  </r>
  <r>
    <n v="407"/>
    <d v="2016-06-06T15:36:00"/>
    <x v="5"/>
    <d v="2016-06-06T15:45:00"/>
    <s v="06"/>
    <s v="Business"/>
    <s v="Whitebridge"/>
    <s v="Hazelwood"/>
    <n v="3"/>
    <s v="Errand/Supplies"/>
  </r>
  <r>
    <n v="408"/>
    <d v="2016-06-06T16:16:00"/>
    <x v="5"/>
    <d v="2016-06-06T16:24:00"/>
    <s v="06"/>
    <s v="Business"/>
    <s v="Hazelwood"/>
    <s v="Whitebridge"/>
    <n v="2.4"/>
    <s v="Errand/Supplies"/>
  </r>
  <r>
    <n v="409"/>
    <d v="2016-06-06T20:06:00"/>
    <x v="5"/>
    <d v="2016-06-06T20:20:00"/>
    <s v="06"/>
    <s v="Business"/>
    <s v="Cary"/>
    <s v="Apex"/>
    <n v="5.7"/>
    <s v="Meal/Entertain"/>
  </r>
  <r>
    <n v="410"/>
    <d v="2016-06-06T21:08:00"/>
    <x v="5"/>
    <d v="2016-06-06T21:37:00"/>
    <s v="06"/>
    <s v="Business"/>
    <s v="Apex"/>
    <s v="Cary"/>
    <n v="7.2"/>
    <s v="Meal/Entertain"/>
  </r>
  <r>
    <n v="411"/>
    <d v="2016-06-06T21:41:00"/>
    <x v="5"/>
    <d v="2016-06-06T22:00:00"/>
    <s v="06"/>
    <s v="Business"/>
    <s v="Cary"/>
    <s v="Durham"/>
    <n v="10.4"/>
    <s v="Meeting"/>
  </r>
  <r>
    <n v="412"/>
    <d v="2016-06-06T23:34:00"/>
    <x v="5"/>
    <d v="2016-06-06T23:48:00"/>
    <s v="06"/>
    <s v="Business"/>
    <s v="Durham"/>
    <s v="Cary"/>
    <n v="9.9"/>
    <s v="Meeting"/>
  </r>
  <r>
    <n v="413"/>
    <d v="2016-06-07T21:42:00"/>
    <x v="5"/>
    <d v="2016-06-07T22:00:00"/>
    <s v="06"/>
    <s v="Business"/>
    <s v="Cary"/>
    <s v="Durham"/>
    <n v="10.4"/>
    <s v="Meeting"/>
  </r>
  <r>
    <n v="414"/>
    <d v="2016-06-07T23:41:00"/>
    <x v="5"/>
    <d v="2016-06-08T00:04:00"/>
    <s v="06"/>
    <s v="Business"/>
    <s v="Durham"/>
    <s v="Cary"/>
    <n v="9.9"/>
    <s v="Meeting"/>
  </r>
  <r>
    <n v="415"/>
    <d v="2016-06-08T08:23:00"/>
    <x v="5"/>
    <d v="2016-06-08T08:53:00"/>
    <s v="06"/>
    <s v="Business"/>
    <s v="Cary"/>
    <s v="Morrisville"/>
    <n v="8.6999999999999993"/>
    <s v="Meal/Entertain"/>
  </r>
  <r>
    <n v="416"/>
    <d v="2016-06-08T12:04:00"/>
    <x v="5"/>
    <d v="2016-06-08T13:01:00"/>
    <s v="06"/>
    <s v="Business"/>
    <s v="Jamaica"/>
    <s v="New York"/>
    <n v="22.3"/>
    <s v="Errand/Supplies"/>
  </r>
  <r>
    <n v="417"/>
    <d v="2016-06-08T13:12:00"/>
    <x v="5"/>
    <d v="2016-06-08T13:29:00"/>
    <s v="06"/>
    <s v="Business"/>
    <s v="Seaport"/>
    <s v="Gramercy-Flatiron"/>
    <n v="3.3"/>
    <s v="Meal/Entertain"/>
  </r>
  <r>
    <n v="418"/>
    <d v="2016-06-08T14:31:00"/>
    <x v="5"/>
    <d v="2016-06-08T14:37:00"/>
    <s v="06"/>
    <s v="Business"/>
    <s v="Medical Centre"/>
    <s v="Tudor City"/>
    <n v="0.7"/>
    <s v="Errand/Supplies"/>
  </r>
  <r>
    <n v="419"/>
    <d v="2016-06-08T16:55:00"/>
    <x v="5"/>
    <d v="2016-06-08T17:11:00"/>
    <s v="06"/>
    <s v="Business"/>
    <s v="Rose Hill"/>
    <s v="Soho"/>
    <n v="2.5"/>
    <s v="Meal/Entertain"/>
  </r>
  <r>
    <n v="420"/>
    <d v="2016-06-08T17:16:00"/>
    <x v="5"/>
    <d v="2016-06-08T17:18:00"/>
    <s v="06"/>
    <s v="Business"/>
    <s v="Soho"/>
    <s v="Tribeca"/>
    <n v="0.5"/>
    <s v="Errand/Supplies"/>
  </r>
  <r>
    <n v="421"/>
    <d v="2016-06-08T17:59:00"/>
    <x v="5"/>
    <d v="2016-06-08T18:05:00"/>
    <s v="06"/>
    <s v="Business"/>
    <s v="Tribeca"/>
    <s v="Financial District"/>
    <n v="0.9"/>
    <s v="Errand/Supplies"/>
  </r>
  <r>
    <n v="422"/>
    <d v="2016-06-08T20:11:00"/>
    <x v="5"/>
    <d v="2016-06-08T20:25:00"/>
    <s v="06"/>
    <s v="Business"/>
    <s v="Financial District"/>
    <s v="Kips Bay"/>
    <n v="4.8"/>
    <s v="Errand/Supplies"/>
  </r>
  <r>
    <n v="423"/>
    <d v="2016-06-10T15:19:00"/>
    <x v="5"/>
    <d v="2016-06-10T16:28:00"/>
    <s v="06"/>
    <s v="Business"/>
    <s v="New York"/>
    <s v="Jamaica"/>
    <n v="16.3"/>
    <s v="Meeting"/>
  </r>
  <r>
    <n v="424"/>
    <d v="2016-06-10T21:47:00"/>
    <x v="5"/>
    <d v="2016-06-10T22:04:00"/>
    <s v="06"/>
    <s v="Business"/>
    <s v="Cary"/>
    <s v="Durham"/>
    <n v="10.4"/>
    <s v="Meeting"/>
  </r>
  <r>
    <n v="425"/>
    <d v="2016-06-10T23:53:00"/>
    <x v="5"/>
    <d v="2016-06-11T00:01:00"/>
    <s v="06"/>
    <s v="Business"/>
    <s v="Durham"/>
    <s v="Cary"/>
    <n v="9.9"/>
    <s v="Meeting"/>
  </r>
  <r>
    <n v="426"/>
    <d v="2016-06-11T17:08:00"/>
    <x v="5"/>
    <d v="2016-06-11T17:16:00"/>
    <s v="06"/>
    <s v="Business"/>
    <s v="Cary"/>
    <s v="Morrisville"/>
    <n v="3.7"/>
    <s v="Errand/Supplies"/>
  </r>
  <r>
    <n v="427"/>
    <d v="2016-06-11T17:34:00"/>
    <x v="5"/>
    <d v="2016-06-11T17:39:00"/>
    <s v="06"/>
    <s v="Business"/>
    <s v="Morrisville"/>
    <s v="Cary"/>
    <n v="4.5999999999999996"/>
    <s v="Meal/Entertain"/>
  </r>
  <r>
    <n v="428"/>
    <d v="2016-06-11T17:50:00"/>
    <x v="5"/>
    <d v="2016-06-11T17:56:00"/>
    <s v="06"/>
    <s v="Business"/>
    <s v="Westpark Place"/>
    <s v="Whitebridge"/>
    <n v="1.7"/>
    <m/>
  </r>
  <r>
    <n v="429"/>
    <d v="2016-06-11T21:45:00"/>
    <x v="5"/>
    <d v="2016-06-11T22:04:00"/>
    <s v="06"/>
    <s v="Business"/>
    <s v="Cary"/>
    <s v="Durham"/>
    <n v="10.4"/>
    <s v="Meeting"/>
  </r>
  <r>
    <n v="430"/>
    <d v="2016-06-11T23:39:00"/>
    <x v="5"/>
    <d v="2016-06-12T00:05:00"/>
    <s v="06"/>
    <s v="Business"/>
    <s v="Durham"/>
    <s v="Cary"/>
    <n v="9.9"/>
    <s v="Meeting"/>
  </r>
  <r>
    <n v="431"/>
    <d v="2016-06-12T19:53:00"/>
    <x v="5"/>
    <d v="2016-06-12T19:56:00"/>
    <s v="06"/>
    <s v="Business"/>
    <s v="Cary"/>
    <s v="Morrisville"/>
    <n v="2.5"/>
    <s v="Meal/Entertain"/>
  </r>
  <r>
    <n v="432"/>
    <d v="2016-06-12T20:05:00"/>
    <x v="5"/>
    <d v="2016-06-12T20:16:00"/>
    <s v="06"/>
    <s v="Business"/>
    <s v="Morrisville"/>
    <s v="Cary"/>
    <n v="4.3"/>
    <s v="Errand/Supplies"/>
  </r>
  <r>
    <n v="433"/>
    <d v="2016-06-12T21:58:00"/>
    <x v="5"/>
    <d v="2016-06-12T22:19:00"/>
    <s v="06"/>
    <s v="Business"/>
    <s v="Parkway"/>
    <s v="Whitebridge"/>
    <n v="2.8"/>
    <s v="Errand/Supplies"/>
  </r>
  <r>
    <n v="434"/>
    <d v="2016-06-13T05:23:00"/>
    <x v="5"/>
    <d v="2016-06-13T05:42:00"/>
    <s v="06"/>
    <s v="Business"/>
    <s v="Cary"/>
    <s v="Morrisville"/>
    <n v="8.4"/>
    <s v="Meal/Entertain"/>
  </r>
  <r>
    <n v="435"/>
    <d v="2016-06-13T14:17:00"/>
    <x v="5"/>
    <d v="2016-06-13T14:46:00"/>
    <s v="06"/>
    <s v="Business"/>
    <s v="Oakland"/>
    <s v="Emeryville"/>
    <n v="13.2"/>
    <s v="Meeting"/>
  </r>
  <r>
    <n v="436"/>
    <d v="2016-06-13T18:08:00"/>
    <x v="5"/>
    <d v="2016-06-13T18:47:00"/>
    <s v="06"/>
    <s v="Business"/>
    <s v="Emeryville"/>
    <s v="Berkeley"/>
    <n v="3.9"/>
    <s v="Meal/Entertain"/>
  </r>
  <r>
    <n v="437"/>
    <d v="2016-06-13T18:54:00"/>
    <x v="5"/>
    <d v="2016-06-13T19:23:00"/>
    <s v="06"/>
    <s v="Business"/>
    <s v="Berkeley"/>
    <s v="Oakland"/>
    <n v="5.0999999999999996"/>
    <s v="Meal/Entertain"/>
  </r>
  <r>
    <n v="438"/>
    <d v="2016-06-13T20:00:00"/>
    <x v="5"/>
    <d v="2016-06-13T20:05:00"/>
    <s v="06"/>
    <s v="Business"/>
    <s v="Oakland"/>
    <s v="Unknown Location"/>
    <n v="5.2"/>
    <s v="Customer Visit"/>
  </r>
  <r>
    <n v="439"/>
    <d v="2016-06-14T12:03:00"/>
    <x v="5"/>
    <d v="2016-06-14T12:21:00"/>
    <s v="06"/>
    <s v="Business"/>
    <s v="Emeryville"/>
    <s v="San Francisco"/>
    <n v="9.8000000000000007"/>
    <m/>
  </r>
  <r>
    <n v="440"/>
    <d v="2016-06-14T16:09:00"/>
    <x v="5"/>
    <d v="2016-06-14T16:39:00"/>
    <s v="06"/>
    <s v="Business"/>
    <s v="San Francisco"/>
    <s v="Emeryville"/>
    <n v="11.6"/>
    <s v="Meeting"/>
  </r>
  <r>
    <n v="441"/>
    <d v="2016-06-14T17:15:00"/>
    <x v="5"/>
    <d v="2016-06-14T17:24:00"/>
    <s v="06"/>
    <s v="Business"/>
    <s v="Emeryville"/>
    <s v="Oakland"/>
    <n v="5.0999999999999996"/>
    <s v="Meeting"/>
  </r>
  <r>
    <n v="442"/>
    <d v="2016-06-14T17:27:00"/>
    <x v="5"/>
    <d v="2016-06-14T17:57:00"/>
    <s v="06"/>
    <s v="Business"/>
    <s v="Downtown"/>
    <s v="Bay Farm Island"/>
    <n v="9.3000000000000007"/>
    <s v="Errand/Supplies"/>
  </r>
  <r>
    <n v="443"/>
    <d v="2016-06-15T01:46:00"/>
    <x v="5"/>
    <d v="2016-06-15T02:06:00"/>
    <s v="06"/>
    <s v="Business"/>
    <s v="Kenner"/>
    <s v="New Orleans"/>
    <n v="12.4"/>
    <s v="Between Offices"/>
  </r>
  <r>
    <n v="444"/>
    <d v="2016-06-15T15:26:00"/>
    <x v="5"/>
    <d v="2016-06-15T15:34:00"/>
    <s v="06"/>
    <s v="Business"/>
    <s v="CBD"/>
    <s v="Lower Garden District"/>
    <n v="1.9"/>
    <s v="Between Offices"/>
  </r>
  <r>
    <n v="445"/>
    <d v="2016-06-15T16:37:00"/>
    <x v="5"/>
    <d v="2016-06-15T17:02:00"/>
    <s v="06"/>
    <s v="Business"/>
    <s v="Lower Garden District"/>
    <s v="Lakeview"/>
    <n v="6.4"/>
    <s v="Customer Visit"/>
  </r>
  <r>
    <n v="446"/>
    <d v="2016-06-15T17:29:00"/>
    <x v="5"/>
    <d v="2016-06-15T17:49:00"/>
    <s v="06"/>
    <s v="Personal"/>
    <s v="Lakeview"/>
    <s v="Storyville"/>
    <n v="5.5"/>
    <m/>
  </r>
  <r>
    <n v="447"/>
    <d v="2016-06-15T19:52:00"/>
    <x v="5"/>
    <d v="2016-06-15T19:58:00"/>
    <s v="06"/>
    <s v="Business"/>
    <s v="Storyville"/>
    <s v="Faubourg Marigny"/>
    <n v="1.5"/>
    <s v="Meal/Entertain"/>
  </r>
  <r>
    <n v="448"/>
    <d v="2016-06-16T13:36:00"/>
    <x v="5"/>
    <d v="2016-06-16T14:30:00"/>
    <s v="06"/>
    <s v="Business"/>
    <s v="New Orleans"/>
    <s v="Metairie"/>
    <n v="14.5"/>
    <m/>
  </r>
  <r>
    <n v="449"/>
    <d v="2016-06-16T14:42:00"/>
    <x v="5"/>
    <d v="2016-06-16T14:46:00"/>
    <s v="06"/>
    <s v="Business"/>
    <s v="Metairie"/>
    <s v="Kenner"/>
    <n v="2.7"/>
    <m/>
  </r>
  <r>
    <n v="450"/>
    <d v="2016-06-16T15:17:00"/>
    <x v="5"/>
    <d v="2016-06-16T15:41:00"/>
    <s v="06"/>
    <s v="Business"/>
    <s v="Kenner"/>
    <s v="New Orleans"/>
    <n v="15"/>
    <m/>
  </r>
  <r>
    <n v="451"/>
    <d v="2016-06-16T19:39:00"/>
    <x v="5"/>
    <d v="2016-06-16T19:56:00"/>
    <s v="06"/>
    <s v="Business"/>
    <s v="New Orleans"/>
    <s v="Kenner"/>
    <n v="12.9"/>
    <m/>
  </r>
  <r>
    <n v="452"/>
    <d v="2016-06-16T21:43:00"/>
    <x v="5"/>
    <d v="2016-06-16T21:56:00"/>
    <s v="06"/>
    <s v="Business"/>
    <s v="Kenner"/>
    <s v="New Orleans"/>
    <n v="13.6"/>
    <m/>
  </r>
  <r>
    <n v="453"/>
    <d v="2016-06-17T16:11:00"/>
    <x v="5"/>
    <d v="2016-06-17T16:44:00"/>
    <s v="06"/>
    <s v="Business"/>
    <s v="New Orleans"/>
    <s v="Kenner"/>
    <n v="12.2"/>
    <m/>
  </r>
  <r>
    <n v="454"/>
    <d v="2016-06-18T00:29:00"/>
    <x v="5"/>
    <d v="2016-06-18T00:51:00"/>
    <s v="06"/>
    <s v="Business"/>
    <s v="Morrisville"/>
    <s v="Cary"/>
    <n v="8.6999999999999993"/>
    <m/>
  </r>
  <r>
    <n v="455"/>
    <d v="2016-06-19T02:39:00"/>
    <x v="5"/>
    <d v="2016-06-19T02:50:00"/>
    <s v="06"/>
    <s v="Business"/>
    <s v="Cary"/>
    <s v="Raleigh"/>
    <n v="6"/>
    <m/>
  </r>
  <r>
    <n v="456"/>
    <d v="2016-06-19T05:51:00"/>
    <x v="5"/>
    <d v="2016-06-19T06:00:00"/>
    <s v="06"/>
    <s v="Business"/>
    <s v="Raleigh"/>
    <s v="Cary"/>
    <n v="5.9"/>
    <m/>
  </r>
  <r>
    <n v="457"/>
    <d v="2016-06-21T15:39:00"/>
    <x v="5"/>
    <d v="2016-06-21T16:08:00"/>
    <s v="06"/>
    <s v="Business"/>
    <s v="Cary"/>
    <s v="Raleigh"/>
    <n v="19.3"/>
    <m/>
  </r>
  <r>
    <n v="458"/>
    <d v="2016-06-21T17:11:00"/>
    <x v="5"/>
    <d v="2016-06-21T18:02:00"/>
    <s v="06"/>
    <s v="Business"/>
    <s v="Raleigh"/>
    <s v="Cary"/>
    <n v="16.600000000000001"/>
    <s v="Meal/Entertain"/>
  </r>
  <r>
    <n v="459"/>
    <d v="2016-06-24T10:41:00"/>
    <x v="5"/>
    <d v="2016-06-24T10:57:00"/>
    <s v="06"/>
    <s v="Business"/>
    <s v="Whitebridge"/>
    <s v="Waverly Place"/>
    <n v="7.1"/>
    <s v="Meal/Entertain"/>
  </r>
  <r>
    <n v="460"/>
    <d v="2016-06-24T11:54:00"/>
    <x v="5"/>
    <d v="2016-06-24T12:01:00"/>
    <s v="06"/>
    <s v="Business"/>
    <s v="Waverly Place"/>
    <s v="Macgregor Downs"/>
    <n v="2.1"/>
    <s v="Meal/Entertain"/>
  </r>
  <r>
    <n v="461"/>
    <d v="2016-06-24T12:19:00"/>
    <x v="5"/>
    <d v="2016-06-24T12:37:00"/>
    <s v="06"/>
    <s v="Business"/>
    <s v="Cary"/>
    <s v="Raleigh"/>
    <n v="8.6"/>
    <s v="Errand/Supplies"/>
  </r>
  <r>
    <n v="462"/>
    <d v="2016-06-24T12:50:00"/>
    <x v="5"/>
    <d v="2016-06-24T13:12:00"/>
    <s v="06"/>
    <s v="Business"/>
    <s v="Raleigh"/>
    <s v="Morrisville"/>
    <n v="9"/>
    <s v="Errand/Supplies"/>
  </r>
  <r>
    <n v="463"/>
    <d v="2016-06-24T13:18:00"/>
    <x v="5"/>
    <d v="2016-06-24T13:27:00"/>
    <s v="06"/>
    <s v="Business"/>
    <s v="Morrisville"/>
    <s v="Cary"/>
    <n v="3.1"/>
    <s v="Errand/Supplies"/>
  </r>
  <r>
    <n v="464"/>
    <d v="2016-06-24T14:01:00"/>
    <x v="5"/>
    <d v="2016-06-24T14:20:00"/>
    <s v="06"/>
    <s v="Business"/>
    <s v="Cary"/>
    <s v="Morrisville"/>
    <n v="8.4"/>
    <s v="Temporary Site"/>
  </r>
  <r>
    <n v="465"/>
    <d v="2016-06-24T20:44:00"/>
    <x v="5"/>
    <d v="2016-06-24T21:02:00"/>
    <s v="06"/>
    <s v="Business"/>
    <s v="Kenner"/>
    <s v="New Orleans"/>
    <n v="12.8"/>
    <m/>
  </r>
  <r>
    <n v="466"/>
    <d v="2016-06-25T09:03:00"/>
    <x v="5"/>
    <d v="2016-06-25T09:12:00"/>
    <s v="06"/>
    <s v="Business"/>
    <s v="CBD"/>
    <s v="Bywater"/>
    <n v="4.5"/>
    <m/>
  </r>
  <r>
    <n v="467"/>
    <d v="2016-06-25T09:15:00"/>
    <x v="5"/>
    <d v="2016-06-25T10:08:00"/>
    <s v="06"/>
    <s v="Business"/>
    <s v="New Orleans"/>
    <s v="Chalmette"/>
    <n v="11.8"/>
    <s v="Between Offices"/>
  </r>
  <r>
    <n v="468"/>
    <d v="2016-06-25T10:18:00"/>
    <x v="5"/>
    <d v="2016-06-25T10:25:00"/>
    <s v="06"/>
    <s v="Business"/>
    <s v="Chalmette"/>
    <s v="Arabi"/>
    <n v="1.1000000000000001"/>
    <s v="Errand/Supplies"/>
  </r>
  <r>
    <n v="469"/>
    <d v="2016-06-25T10:50:00"/>
    <x v="5"/>
    <d v="2016-06-25T11:18:00"/>
    <s v="06"/>
    <s v="Business"/>
    <s v="Arabi"/>
    <s v="Metairie"/>
    <n v="17"/>
    <s v="Meal/Entertain"/>
  </r>
  <r>
    <n v="470"/>
    <d v="2016-06-25T11:25:00"/>
    <x v="5"/>
    <d v="2016-06-25T11:34:00"/>
    <s v="06"/>
    <s v="Business"/>
    <s v="Pontchartrain Shores"/>
    <s v="Pontchartrain Shores"/>
    <n v="1.7"/>
    <s v="Meeting"/>
  </r>
  <r>
    <n v="471"/>
    <d v="2016-06-25T11:53:00"/>
    <x v="5"/>
    <d v="2016-06-25T13:21:00"/>
    <s v="06"/>
    <s v="Business"/>
    <s v="Metairie"/>
    <s v="New Orleans"/>
    <n v="15.5"/>
    <s v="Meeting"/>
  </r>
  <r>
    <n v="472"/>
    <d v="2016-06-25T19:47:00"/>
    <x v="5"/>
    <d v="2016-06-25T19:58:00"/>
    <s v="06"/>
    <s v="Business"/>
    <s v="Storyville"/>
    <s v="Marigny"/>
    <n v="1.6"/>
    <m/>
  </r>
  <r>
    <n v="473"/>
    <d v="2016-06-25T23:19:00"/>
    <x v="5"/>
    <d v="2016-06-25T23:26:00"/>
    <s v="06"/>
    <s v="Business"/>
    <s v="Marigny"/>
    <s v="Storyville"/>
    <n v="1.5"/>
    <m/>
  </r>
  <r>
    <n v="474"/>
    <d v="2016-06-26T17:43:00"/>
    <x v="5"/>
    <d v="2016-06-26T18:18:00"/>
    <s v="06"/>
    <s v="Business"/>
    <s v="New Orleans"/>
    <s v="Kenner"/>
    <n v="12.6"/>
    <s v="Meeting"/>
  </r>
  <r>
    <n v="475"/>
    <d v="2016-06-26T18:45:00"/>
    <x v="5"/>
    <d v="2016-06-26T19:12:00"/>
    <s v="06"/>
    <s v="Business"/>
    <s v="Pontchartrain Shores"/>
    <s v="Pontchartrain Shores"/>
    <n v="4.8"/>
    <m/>
  </r>
  <r>
    <n v="476"/>
    <d v="2016-06-26T19:41:00"/>
    <x v="5"/>
    <d v="2016-06-26T19:50:00"/>
    <s v="06"/>
    <s v="Business"/>
    <s v="Kenner"/>
    <s v="Kenner"/>
    <n v="2.2000000000000002"/>
    <m/>
  </r>
  <r>
    <n v="477"/>
    <d v="2016-06-26T21:14:00"/>
    <x v="5"/>
    <d v="2016-06-26T21:42:00"/>
    <s v="06"/>
    <s v="Business"/>
    <s v="Kenner"/>
    <s v="New Orleans"/>
    <n v="13"/>
    <m/>
  </r>
  <r>
    <n v="478"/>
    <d v="2016-06-27T07:37:00"/>
    <x v="5"/>
    <d v="2016-06-27T08:48:00"/>
    <s v="06"/>
    <s v="Business"/>
    <s v="New Orleans"/>
    <s v="Covington"/>
    <n v="46.9"/>
    <m/>
  </r>
  <r>
    <n v="479"/>
    <d v="2016-06-27T08:51:00"/>
    <x v="5"/>
    <d v="2016-06-27T09:00:00"/>
    <s v="06"/>
    <s v="Business"/>
    <s v="Covington"/>
    <s v="Covington"/>
    <n v="2.5"/>
    <m/>
  </r>
  <r>
    <n v="480"/>
    <d v="2016-06-27T09:05:00"/>
    <x v="5"/>
    <d v="2016-06-27T09:33:00"/>
    <s v="06"/>
    <s v="Business"/>
    <s v="Covington"/>
    <s v="Covington"/>
    <n v="8.6"/>
    <m/>
  </r>
  <r>
    <n v="481"/>
    <d v="2016-06-27T09:43:00"/>
    <x v="5"/>
    <d v="2016-06-27T10:08:00"/>
    <s v="06"/>
    <s v="Business"/>
    <s v="Covington"/>
    <s v="Covington"/>
    <n v="5.2"/>
    <m/>
  </r>
  <r>
    <n v="482"/>
    <d v="2016-06-27T10:22:00"/>
    <x v="5"/>
    <d v="2016-06-27T10:39:00"/>
    <s v="06"/>
    <s v="Business"/>
    <s v="Covington"/>
    <s v="Covington"/>
    <n v="7.6"/>
    <m/>
  </r>
  <r>
    <n v="483"/>
    <d v="2016-06-27T10:51:00"/>
    <x v="5"/>
    <d v="2016-06-27T10:58:00"/>
    <s v="06"/>
    <s v="Business"/>
    <s v="Covington"/>
    <s v="Covington"/>
    <n v="1.8"/>
    <m/>
  </r>
  <r>
    <n v="484"/>
    <d v="2016-06-27T11:06:00"/>
    <x v="5"/>
    <d v="2016-06-27T11:24:00"/>
    <s v="06"/>
    <s v="Business"/>
    <s v="Covington"/>
    <s v="Mandeville"/>
    <n v="4.7"/>
    <m/>
  </r>
  <r>
    <n v="485"/>
    <d v="2016-06-27T11:30:00"/>
    <x v="5"/>
    <d v="2016-06-27T11:42:00"/>
    <s v="06"/>
    <s v="Business"/>
    <s v="Mandeville"/>
    <s v="Mandeville"/>
    <n v="2.8"/>
    <m/>
  </r>
  <r>
    <n v="486"/>
    <d v="2016-06-27T12:22:00"/>
    <x v="5"/>
    <d v="2016-06-27T13:02:00"/>
    <s v="06"/>
    <s v="Business"/>
    <s v="Mandeville"/>
    <s v="Metairie"/>
    <n v="30"/>
    <m/>
  </r>
  <r>
    <n v="487"/>
    <d v="2016-06-27T13:56:00"/>
    <x v="5"/>
    <d v="2016-06-27T14:05:00"/>
    <s v="06"/>
    <s v="Business"/>
    <s v="Metairie"/>
    <s v="Kenner"/>
    <n v="4.4000000000000004"/>
    <m/>
  </r>
  <r>
    <n v="488"/>
    <d v="2016-06-27T21:09:00"/>
    <x v="5"/>
    <d v="2016-06-27T21:19:00"/>
    <s v="06"/>
    <s v="Business"/>
    <s v="Jamestown Court"/>
    <s v="Jamestown Court"/>
    <n v="1"/>
    <m/>
  </r>
  <r>
    <n v="489"/>
    <d v="2016-06-28T00:48:00"/>
    <x v="5"/>
    <d v="2016-06-28T01:05:00"/>
    <s v="06"/>
    <s v="Business"/>
    <s v="Morrisville"/>
    <s v="Cary"/>
    <n v="8.1999999999999993"/>
    <s v="Customer Visit"/>
  </r>
  <r>
    <n v="490"/>
    <d v="2016-06-28T20:13:00"/>
    <x v="5"/>
    <d v="2016-06-28T20:33:00"/>
    <s v="06"/>
    <s v="Business"/>
    <s v="Cary"/>
    <s v="Durham"/>
    <n v="10.4"/>
    <s v="Meeting"/>
  </r>
  <r>
    <n v="491"/>
    <d v="2016-06-28T23:34:00"/>
    <x v="5"/>
    <d v="2016-06-28T23:59:00"/>
    <s v="06"/>
    <s v="Business"/>
    <s v="Durham"/>
    <s v="Cary"/>
    <n v="9.9"/>
    <s v="Meeting"/>
  </r>
  <r>
    <n v="492"/>
    <d v="2016-06-28T23:34:00"/>
    <x v="5"/>
    <d v="2016-06-28T23:59:00"/>
    <s v="06"/>
    <s v="Business"/>
    <s v="Durham"/>
    <s v="Cary"/>
    <n v="9.9"/>
    <s v="Meeting"/>
  </r>
  <r>
    <n v="493"/>
    <d v="2016-06-29T08:56:00"/>
    <x v="5"/>
    <d v="2016-06-29T09:24:00"/>
    <s v="06"/>
    <s v="Business"/>
    <s v="Cary"/>
    <s v="Morrisville"/>
    <n v="7.3"/>
    <m/>
  </r>
  <r>
    <n v="494"/>
    <d v="2016-06-29T10:22:00"/>
    <x v="5"/>
    <d v="2016-06-29T10:38:00"/>
    <s v="06"/>
    <s v="Business"/>
    <s v="Morrisville"/>
    <s v="Cary"/>
    <n v="7.4"/>
    <m/>
  </r>
  <r>
    <n v="495"/>
    <d v="2016-06-29T11:49:00"/>
    <x v="5"/>
    <d v="2016-06-29T11:51:00"/>
    <s v="06"/>
    <s v="Business"/>
    <s v="Whitebridge"/>
    <s v="Westpark Place"/>
    <n v="1.6"/>
    <m/>
  </r>
  <r>
    <n v="496"/>
    <d v="2016-06-29T12:11:00"/>
    <x v="5"/>
    <d v="2016-06-29T12:16:00"/>
    <s v="06"/>
    <s v="Business"/>
    <s v="Westpark Place"/>
    <s v="Whitebridge"/>
    <n v="1.8"/>
    <m/>
  </r>
  <r>
    <n v="497"/>
    <d v="2016-06-29T20:11:00"/>
    <x v="5"/>
    <d v="2016-06-29T20:29:00"/>
    <s v="06"/>
    <s v="Business"/>
    <s v="Cary"/>
    <s v="Durham"/>
    <n v="10.4"/>
    <s v="Meeting"/>
  </r>
  <r>
    <n v="498"/>
    <d v="2016-06-29T23:38:00"/>
    <x v="5"/>
    <d v="2016-06-30T00:00:00"/>
    <s v="06"/>
    <s v="Business"/>
    <s v="Durham"/>
    <s v="Cary"/>
    <n v="9.9"/>
    <s v="Meeting"/>
  </r>
  <r>
    <n v="499"/>
    <d v="2016-06-30T20:09:00"/>
    <x v="5"/>
    <d v="2016-06-30T20:26:00"/>
    <s v="06"/>
    <s v="Business"/>
    <s v="Cary"/>
    <s v="Durham"/>
    <n v="9.9"/>
    <s v="Meeting"/>
  </r>
  <r>
    <n v="500"/>
    <d v="2016-07-01T00:00:00"/>
    <x v="6"/>
    <d v="2016-07-01T00:25:00"/>
    <s v="07"/>
    <s v="Business"/>
    <s v="Durham"/>
    <s v="Cary"/>
    <n v="9.9"/>
    <s v="Meeting"/>
  </r>
  <r>
    <n v="501"/>
    <d v="2016-07-01T09:34:00"/>
    <x v="6"/>
    <d v="2016-07-01T09:57:00"/>
    <s v="07"/>
    <s v="Business"/>
    <s v="Cary"/>
    <s v="Raleigh"/>
    <n v="13.3"/>
    <s v="Meeting"/>
  </r>
  <r>
    <n v="502"/>
    <d v="2016-07-01T12:36:00"/>
    <x v="6"/>
    <d v="2016-07-01T13:00:00"/>
    <s v="07"/>
    <s v="Business"/>
    <s v="Raleigh"/>
    <s v="Cary"/>
    <n v="11.3"/>
    <s v="Meeting"/>
  </r>
  <r>
    <n v="503"/>
    <d v="2016-07-01T20:06:00"/>
    <x v="6"/>
    <d v="2016-07-01T20:24:00"/>
    <s v="07"/>
    <s v="Business"/>
    <s v="Cary"/>
    <s v="Durham"/>
    <n v="10.5"/>
    <s v="Meeting"/>
  </r>
  <r>
    <n v="504"/>
    <d v="2016-07-01T23:48:00"/>
    <x v="6"/>
    <d v="2016-07-02T00:09:00"/>
    <s v="07"/>
    <s v="Business"/>
    <s v="Durham"/>
    <s v="Cary"/>
    <n v="9.9"/>
    <s v="Meeting"/>
  </r>
  <r>
    <n v="505"/>
    <d v="2016-07-02T20:18:00"/>
    <x v="6"/>
    <d v="2016-07-02T20:36:00"/>
    <s v="07"/>
    <s v="Business"/>
    <s v="Cary"/>
    <s v="Durham"/>
    <n v="10.1"/>
    <s v="Meeting"/>
  </r>
  <r>
    <n v="506"/>
    <d v="2016-07-02T23:48:00"/>
    <x v="6"/>
    <d v="2016-07-03T00:12:00"/>
    <s v="07"/>
    <s v="Business"/>
    <s v="Durham"/>
    <s v="Cary"/>
    <n v="9.9"/>
    <s v="Meeting"/>
  </r>
  <r>
    <n v="507"/>
    <d v="2016-07-03T00:28:00"/>
    <x v="6"/>
    <d v="2016-07-03T00:38:00"/>
    <s v="07"/>
    <s v="Business"/>
    <s v="Cary"/>
    <s v="Morrisville"/>
    <n v="3.1"/>
    <s v="Errand/Supplies"/>
  </r>
  <r>
    <n v="508"/>
    <d v="2016-07-03T03:02:00"/>
    <x v="6"/>
    <d v="2016-07-03T03:08:00"/>
    <s v="07"/>
    <s v="Business"/>
    <s v="Morrisville"/>
    <s v="Cary"/>
    <n v="3.1"/>
    <s v="Errand/Supplies"/>
  </r>
  <r>
    <n v="509"/>
    <d v="2016-07-03T20:00:00"/>
    <x v="6"/>
    <d v="2016-07-03T20:18:00"/>
    <s v="07"/>
    <s v="Business"/>
    <s v="Cary"/>
    <s v="Durham"/>
    <n v="9.9"/>
    <s v="Meeting"/>
  </r>
  <r>
    <n v="510"/>
    <d v="2016-07-04T00:32:00"/>
    <x v="6"/>
    <d v="2016-07-04T00:47:00"/>
    <s v="07"/>
    <s v="Business"/>
    <s v="Durham"/>
    <s v="Cary"/>
    <n v="9.9"/>
    <s v="Meeting"/>
  </r>
  <r>
    <n v="511"/>
    <d v="2016-07-04T17:31:00"/>
    <x v="6"/>
    <d v="2016-07-04T17:49:00"/>
    <s v="07"/>
    <s v="Business"/>
    <s v="Whitebridge"/>
    <s v="Summerwinds"/>
    <n v="8.8000000000000007"/>
    <s v="Meeting"/>
  </r>
  <r>
    <n v="512"/>
    <d v="2016-07-04T18:23:00"/>
    <x v="6"/>
    <d v="2016-07-04T18:49:00"/>
    <s v="07"/>
    <s v="Business"/>
    <s v="Summerwinds"/>
    <s v="Whitebridge"/>
    <n v="8.6999999999999993"/>
    <s v="Temporary Site"/>
  </r>
  <r>
    <n v="513"/>
    <d v="2016-07-04T20:00:00"/>
    <x v="6"/>
    <d v="2016-07-04T20:17:00"/>
    <s v="07"/>
    <s v="Business"/>
    <s v="Cary"/>
    <s v="Durham"/>
    <n v="11.8"/>
    <s v="Meeting"/>
  </r>
  <r>
    <n v="514"/>
    <d v="2016-07-05T00:00:00"/>
    <x v="6"/>
    <d v="2016-07-05T00:05:00"/>
    <s v="07"/>
    <s v="Business"/>
    <s v="Parkwood"/>
    <s v="Parkwood"/>
    <n v="1.2"/>
    <s v="Errand/Supplies"/>
  </r>
  <r>
    <n v="515"/>
    <d v="2016-07-05T00:08:00"/>
    <x v="6"/>
    <d v="2016-07-05T00:28:00"/>
    <s v="07"/>
    <s v="Business"/>
    <s v="Durham"/>
    <s v="Cary"/>
    <n v="9.9"/>
    <s v="Meeting"/>
  </r>
  <r>
    <n v="516"/>
    <d v="2016-07-05T16:48:00"/>
    <x v="6"/>
    <d v="2016-07-05T16:52:00"/>
    <s v="07"/>
    <s v="Business"/>
    <s v="Whitebridge"/>
    <s v="Whitebridge"/>
    <n v="0.6"/>
    <s v="Errand/Supplies"/>
  </r>
  <r>
    <n v="517"/>
    <d v="2016-07-05T20:06:00"/>
    <x v="6"/>
    <d v="2016-07-05T20:26:00"/>
    <s v="07"/>
    <s v="Business"/>
    <s v="Cary"/>
    <s v="Durham"/>
    <n v="9.9"/>
    <m/>
  </r>
  <r>
    <n v="518"/>
    <d v="2016-07-05T22:41:00"/>
    <x v="6"/>
    <d v="2016-07-05T23:02:00"/>
    <s v="07"/>
    <s v="Business"/>
    <s v="Durham"/>
    <s v="Morrisville"/>
    <n v="8.6"/>
    <m/>
  </r>
  <r>
    <n v="519"/>
    <d v="2016-07-06T00:33:00"/>
    <x v="6"/>
    <d v="2016-07-06T00:53:00"/>
    <s v="07"/>
    <s v="Business"/>
    <s v="Morrisville"/>
    <s v="Cary"/>
    <n v="6.3"/>
    <s v="Meal/Entertain"/>
  </r>
  <r>
    <n v="520"/>
    <d v="2016-07-06T09:06:00"/>
    <x v="6"/>
    <d v="2016-07-06T09:25:00"/>
    <s v="07"/>
    <s v="Business"/>
    <s v="Cary"/>
    <s v="Durham"/>
    <n v="9.9"/>
    <s v="Meeting"/>
  </r>
  <r>
    <n v="521"/>
    <d v="2016-07-06T12:48:00"/>
    <x v="6"/>
    <d v="2016-07-06T13:08:00"/>
    <s v="07"/>
    <s v="Business"/>
    <s v="Durham"/>
    <s v="Cary"/>
    <n v="9.9"/>
    <m/>
  </r>
  <r>
    <n v="522"/>
    <d v="2016-07-06T20:04:00"/>
    <x v="6"/>
    <d v="2016-07-06T20:14:00"/>
    <s v="07"/>
    <s v="Business"/>
    <s v="Cary"/>
    <s v="Morrisville"/>
    <n v="3.3"/>
    <s v="Meal/Entertain"/>
  </r>
  <r>
    <n v="523"/>
    <d v="2016-07-06T23:46:00"/>
    <x v="6"/>
    <d v="2016-07-06T23:59:00"/>
    <s v="07"/>
    <s v="Business"/>
    <s v="Morrisville"/>
    <s v="Cary"/>
    <n v="3.1"/>
    <s v="Customer Visit"/>
  </r>
  <r>
    <n v="524"/>
    <d v="2016-07-07T08:22:00"/>
    <x v="6"/>
    <d v="2016-07-07T08:50:00"/>
    <s v="07"/>
    <s v="Business"/>
    <s v="Cary"/>
    <s v="Morrisville"/>
    <n v="7.9"/>
    <s v="Temporary Site"/>
  </r>
  <r>
    <n v="525"/>
    <d v="2016-07-07T10:27:00"/>
    <x v="6"/>
    <d v="2016-07-07T10:33:00"/>
    <s v="07"/>
    <s v="Business"/>
    <s v="Morrisville"/>
    <s v="Cary"/>
    <n v="8.9"/>
    <m/>
  </r>
  <r>
    <n v="526"/>
    <d v="2016-07-07T12:59:00"/>
    <x v="6"/>
    <d v="2016-07-07T13:35:00"/>
    <s v="07"/>
    <s v="Business"/>
    <s v="Kenner"/>
    <s v="New Orleans"/>
    <n v="12.8"/>
    <m/>
  </r>
  <r>
    <n v="527"/>
    <d v="2016-07-08T09:50:00"/>
    <x v="6"/>
    <d v="2016-07-08T10:13:00"/>
    <s v="07"/>
    <s v="Business"/>
    <s v="CBD"/>
    <s v="Pontchartrain Beach"/>
    <n v="7.7"/>
    <m/>
  </r>
  <r>
    <n v="528"/>
    <d v="2016-07-08T10:51:00"/>
    <x v="6"/>
    <d v="2016-07-08T11:12:00"/>
    <s v="07"/>
    <s v="Business"/>
    <s v="Pontchartrain Beach"/>
    <s v="CBD"/>
    <n v="7"/>
    <m/>
  </r>
  <r>
    <n v="529"/>
    <d v="2016-07-08T13:48:00"/>
    <x v="6"/>
    <d v="2016-07-08T14:11:00"/>
    <s v="07"/>
    <s v="Business"/>
    <s v="New Orleans"/>
    <s v="Metairie"/>
    <n v="12.5"/>
    <m/>
  </r>
  <r>
    <n v="530"/>
    <d v="2016-07-08T17:11:00"/>
    <x v="6"/>
    <d v="2016-07-08T17:30:00"/>
    <s v="07"/>
    <s v="Business"/>
    <s v="Kenner"/>
    <s v="New Orleans"/>
    <n v="13.2"/>
    <m/>
  </r>
  <r>
    <n v="531"/>
    <d v="2016-07-09T09:03:00"/>
    <x v="6"/>
    <d v="2016-07-09T09:46:00"/>
    <s v="07"/>
    <s v="Business"/>
    <s v="New Orleans"/>
    <s v="Kenner"/>
    <n v="13"/>
    <m/>
  </r>
  <r>
    <n v="532"/>
    <d v="2016-07-09T09:52:00"/>
    <x v="6"/>
    <d v="2016-07-09T10:06:00"/>
    <s v="07"/>
    <s v="Business"/>
    <s v="Kenner"/>
    <s v="Metairie"/>
    <n v="4.9000000000000004"/>
    <m/>
  </r>
  <r>
    <n v="533"/>
    <d v="2016-07-09T10:15:00"/>
    <x v="6"/>
    <d v="2016-07-09T10:33:00"/>
    <s v="07"/>
    <s v="Business"/>
    <s v="Metairie"/>
    <s v="New Orleans"/>
    <n v="8.5"/>
    <m/>
  </r>
  <r>
    <n v="534"/>
    <d v="2016-07-10T14:10:00"/>
    <x v="6"/>
    <d v="2016-07-10T14:17:00"/>
    <s v="07"/>
    <s v="Business"/>
    <s v="CBD"/>
    <s v="St Thomas"/>
    <n v="1.3"/>
    <m/>
  </r>
  <r>
    <n v="535"/>
    <d v="2016-07-10T16:04:00"/>
    <x v="6"/>
    <d v="2016-07-10T16:15:00"/>
    <s v="07"/>
    <s v="Business"/>
    <s v="St Thomas"/>
    <s v="CBD"/>
    <n v="1.8"/>
    <m/>
  </r>
  <r>
    <n v="536"/>
    <d v="2016-07-10T18:05:00"/>
    <x v="6"/>
    <d v="2016-07-10T18:21:00"/>
    <s v="07"/>
    <s v="Business"/>
    <s v="New Orleans"/>
    <s v="Kenner"/>
    <n v="13.6"/>
    <m/>
  </r>
  <r>
    <n v="537"/>
    <d v="2016-07-10T19:51:00"/>
    <x v="6"/>
    <d v="2016-07-10T20:08:00"/>
    <s v="07"/>
    <s v="Business"/>
    <s v="Kenner"/>
    <s v="New Orleans"/>
    <n v="13.4"/>
    <m/>
  </r>
  <r>
    <n v="538"/>
    <d v="2016-07-12T16:10:00"/>
    <x v="6"/>
    <d v="2016-07-12T16:45:00"/>
    <s v="07"/>
    <s v="Business"/>
    <s v="New Orleans"/>
    <s v="Kenner"/>
    <n v="12.3"/>
    <m/>
  </r>
  <r>
    <n v="539"/>
    <d v="2016-07-12T19:21:00"/>
    <x v="6"/>
    <d v="2016-07-12T19:26:00"/>
    <s v="07"/>
    <s v="Personal"/>
    <s v="Kenner"/>
    <s v="Kenner"/>
    <n v="1.4"/>
    <m/>
  </r>
  <r>
    <n v="540"/>
    <d v="2016-07-12T23:47:00"/>
    <x v="6"/>
    <d v="2016-07-13T00:11:00"/>
    <s v="07"/>
    <s v="Personal"/>
    <s v="Morrisville"/>
    <s v="Cary"/>
    <n v="8.6999999999999993"/>
    <m/>
  </r>
  <r>
    <n v="541"/>
    <d v="2016-07-13T12:39:00"/>
    <x v="6"/>
    <d v="2016-07-13T13:20:00"/>
    <s v="07"/>
    <s v="Personal"/>
    <s v="Cary"/>
    <s v="Morrisville"/>
    <n v="23.5"/>
    <m/>
  </r>
  <r>
    <n v="542"/>
    <d v="2016-07-13T13:25:00"/>
    <x v="6"/>
    <d v="2016-07-13T13:39:00"/>
    <s v="07"/>
    <s v="Personal"/>
    <s v="Morrisville"/>
    <s v="Morrisville"/>
    <n v="2.2000000000000002"/>
    <m/>
  </r>
  <r>
    <n v="543"/>
    <d v="2016-07-13T13:42:00"/>
    <x v="6"/>
    <d v="2016-07-13T13:54:00"/>
    <s v="07"/>
    <s v="Personal"/>
    <s v="Morrisville"/>
    <s v="Cary"/>
    <n v="4.4000000000000004"/>
    <m/>
  </r>
  <r>
    <n v="544"/>
    <d v="2016-07-14T15:51:00"/>
    <x v="6"/>
    <d v="2016-07-14T15:59:00"/>
    <s v="07"/>
    <s v="Personal"/>
    <s v="Cary"/>
    <s v="Morrisville"/>
    <n v="3.3"/>
    <m/>
  </r>
  <r>
    <n v="545"/>
    <d v="2016-07-14T16:03:00"/>
    <x v="6"/>
    <d v="2016-07-14T16:34:00"/>
    <s v="07"/>
    <s v="Business"/>
    <s v="Morrisville"/>
    <s v="Morrisville"/>
    <n v="11.8"/>
    <s v="Errand/Supplies"/>
  </r>
  <r>
    <n v="546"/>
    <d v="2016-07-14T16:39:00"/>
    <x v="6"/>
    <d v="2016-07-14T20:05:00"/>
    <s v="07"/>
    <s v="Business"/>
    <s v="Morrisville"/>
    <s v="Banner Elk"/>
    <n v="195.3"/>
    <m/>
  </r>
  <r>
    <n v="547"/>
    <d v="2016-07-15T11:32:00"/>
    <x v="6"/>
    <d v="2016-07-15T11:53:00"/>
    <s v="07"/>
    <s v="Personal"/>
    <s v="Banner Elk"/>
    <s v="Banner Elk"/>
    <n v="8.3000000000000007"/>
    <m/>
  </r>
  <r>
    <n v="548"/>
    <d v="2016-07-15T12:09:00"/>
    <x v="6"/>
    <d v="2016-07-15T12:19:00"/>
    <s v="07"/>
    <s v="Personal"/>
    <s v="Banner Elk"/>
    <s v="Banner Elk"/>
    <n v="3.2"/>
    <m/>
  </r>
  <r>
    <n v="549"/>
    <d v="2016-07-15T12:35:00"/>
    <x v="6"/>
    <d v="2016-07-15T13:15:00"/>
    <s v="07"/>
    <s v="Personal"/>
    <s v="Banner Elk"/>
    <s v="Elk Park"/>
    <n v="22.4"/>
    <m/>
  </r>
  <r>
    <n v="550"/>
    <d v="2016-07-15T15:03:00"/>
    <x v="6"/>
    <d v="2016-07-15T15:33:00"/>
    <s v="07"/>
    <s v="Personal"/>
    <s v="Elk Park"/>
    <s v="Banner Elk"/>
    <n v="12.2"/>
    <m/>
  </r>
  <r>
    <n v="551"/>
    <d v="2016-07-15T15:40:00"/>
    <x v="6"/>
    <d v="2016-07-15T15:52:00"/>
    <s v="07"/>
    <s v="Personal"/>
    <s v="Banner Elk"/>
    <s v="Banner Elk"/>
    <n v="4.5"/>
    <m/>
  </r>
  <r>
    <n v="552"/>
    <d v="2016-07-16T13:14:00"/>
    <x v="6"/>
    <d v="2016-07-16T14:10:00"/>
    <s v="07"/>
    <s v="Personal"/>
    <s v="Banner Elk"/>
    <s v="Newland"/>
    <n v="28.1"/>
    <m/>
  </r>
  <r>
    <n v="553"/>
    <d v="2016-07-16T14:14:00"/>
    <x v="6"/>
    <d v="2016-07-16T14:30:00"/>
    <s v="07"/>
    <s v="Personal"/>
    <s v="Newland"/>
    <s v="Newland"/>
    <n v="3.8"/>
    <m/>
  </r>
  <r>
    <n v="554"/>
    <d v="2016-07-16T15:29:00"/>
    <x v="6"/>
    <d v="2016-07-16T16:57:00"/>
    <s v="07"/>
    <s v="Personal"/>
    <s v="Newland"/>
    <s v="Boone"/>
    <n v="41.9"/>
    <m/>
  </r>
  <r>
    <n v="555"/>
    <d v="2016-07-16T19:42:00"/>
    <x v="6"/>
    <d v="2016-07-16T20:35:00"/>
    <s v="07"/>
    <s v="Personal"/>
    <s v="Boone"/>
    <s v="Banner Elk"/>
    <n v="23.8"/>
    <m/>
  </r>
  <r>
    <n v="556"/>
    <d v="2016-07-16T21:45:00"/>
    <x v="6"/>
    <d v="2016-07-16T22:18:00"/>
    <s v="07"/>
    <s v="Personal"/>
    <s v="Banner Elk"/>
    <s v="Banner Elk"/>
    <n v="13"/>
    <m/>
  </r>
  <r>
    <n v="557"/>
    <d v="2016-07-16T22:50:00"/>
    <x v="6"/>
    <d v="2016-07-16T23:03:00"/>
    <s v="07"/>
    <s v="Business"/>
    <s v="Banner Elk"/>
    <s v="Banner Elk"/>
    <n v="4.4000000000000004"/>
    <s v="Errand/Supplies"/>
  </r>
  <r>
    <n v="558"/>
    <d v="2016-07-17T11:23:00"/>
    <x v="6"/>
    <d v="2016-07-17T11:50:00"/>
    <s v="07"/>
    <s v="Personal"/>
    <s v="Banner Elk"/>
    <s v="Boone"/>
    <n v="15.1"/>
    <s v="Charity ($)"/>
  </r>
  <r>
    <n v="559"/>
    <d v="2016-07-17T12:20:00"/>
    <x v="6"/>
    <d v="2016-07-17T15:25:00"/>
    <s v="07"/>
    <s v="Personal"/>
    <s v="Boone"/>
    <s v="Cary"/>
    <n v="180.2"/>
    <s v="Commute"/>
  </r>
  <r>
    <n v="560"/>
    <d v="2016-07-18T10:37:00"/>
    <x v="6"/>
    <d v="2016-07-18T10:49:00"/>
    <s v="07"/>
    <s v="Personal"/>
    <s v="Cary"/>
    <s v="Morrisville"/>
    <n v="4.0999999999999996"/>
    <s v="Moving"/>
  </r>
  <r>
    <n v="561"/>
    <d v="2016-07-18T10:54:00"/>
    <x v="6"/>
    <d v="2016-07-18T11:15:00"/>
    <s v="07"/>
    <s v="Personal"/>
    <s v="Morrisville"/>
    <s v="Cary"/>
    <n v="6.1"/>
    <s v="Moving"/>
  </r>
  <r>
    <n v="562"/>
    <d v="2016-07-18T11:25:00"/>
    <x v="6"/>
    <d v="2016-07-18T11:36:00"/>
    <s v="07"/>
    <s v="Personal"/>
    <s v="Northwoods"/>
    <s v="Preston"/>
    <n v="3.3"/>
    <s v="Moving"/>
  </r>
  <r>
    <n v="563"/>
    <d v="2016-07-18T11:40:00"/>
    <x v="6"/>
    <d v="2016-07-18T11:56:00"/>
    <s v="07"/>
    <s v="Personal"/>
    <s v="Preston"/>
    <s v="Whitebridge"/>
    <n v="4.7"/>
    <s v="Moving"/>
  </r>
  <r>
    <n v="564"/>
    <d v="2016-07-18T17:12:00"/>
    <x v="6"/>
    <d v="2016-07-18T17:33:00"/>
    <s v="07"/>
    <s v="Business"/>
    <s v="Cary"/>
    <s v="Apex"/>
    <n v="7.2"/>
    <s v="Meeting"/>
  </r>
  <r>
    <n v="565"/>
    <d v="2016-07-18T18:32:00"/>
    <x v="6"/>
    <d v="2016-07-18T18:47:00"/>
    <s v="07"/>
    <s v="Business"/>
    <s v="Apex"/>
    <s v="Cary"/>
    <n v="5.5"/>
    <s v="Meal/Entertain"/>
  </r>
  <r>
    <n v="566"/>
    <d v="2016-07-18T19:07:00"/>
    <x v="6"/>
    <d v="2016-07-18T19:14:00"/>
    <s v="07"/>
    <s v="Business"/>
    <s v="Cary"/>
    <s v="Morrisville"/>
    <n v="3.3"/>
    <s v="Meal/Entertain"/>
  </r>
  <r>
    <n v="567"/>
    <d v="2016-07-18T20:28:00"/>
    <x v="6"/>
    <d v="2016-07-18T20:32:00"/>
    <s v="07"/>
    <s v="Business"/>
    <s v="Hazelwood"/>
    <s v="Weston"/>
    <n v="0.9"/>
    <s v="Errand/Supplies"/>
  </r>
  <r>
    <n v="568"/>
    <d v="2016-07-18T21:11:00"/>
    <x v="6"/>
    <d v="2016-07-18T21:19:00"/>
    <s v="07"/>
    <s v="Business"/>
    <s v="Morrisville"/>
    <s v="Cary"/>
    <n v="3.8"/>
    <s v="Meal/Entertain"/>
  </r>
  <r>
    <n v="569"/>
    <d v="2016-07-19T10:35:00"/>
    <x v="6"/>
    <d v="2016-07-19T10:51:00"/>
    <s v="07"/>
    <s v="Business"/>
    <s v="Whitebridge"/>
    <s v="Stonewater"/>
    <n v="6.4"/>
    <s v="Customer Visit"/>
  </r>
  <r>
    <n v="570"/>
    <d v="2016-07-19T10:56:00"/>
    <x v="6"/>
    <d v="2016-07-19T11:11:00"/>
    <s v="07"/>
    <s v="Business"/>
    <s v="Stonewater"/>
    <s v="Lexington Park at Amberly"/>
    <n v="3"/>
    <s v="Meeting"/>
  </r>
  <r>
    <n v="571"/>
    <d v="2016-07-19T11:30:00"/>
    <x v="6"/>
    <d v="2016-07-19T12:00:00"/>
    <s v="07"/>
    <s v="Business"/>
    <s v="Lexington Park at Amberly"/>
    <s v="Whitebridge"/>
    <n v="8.6999999999999993"/>
    <s v="Meal/Entertain"/>
  </r>
  <r>
    <n v="572"/>
    <d v="2016-07-19T17:14:00"/>
    <x v="6"/>
    <d v="2016-07-19T17:24:00"/>
    <s v="07"/>
    <s v="Business"/>
    <s v="Whitebridge"/>
    <s v="Chessington"/>
    <n v="3.9"/>
    <s v="Errand/Supplies"/>
  </r>
  <r>
    <n v="573"/>
    <d v="2016-07-19T17:50:00"/>
    <x v="6"/>
    <d v="2016-07-19T18:08:00"/>
    <s v="07"/>
    <s v="Personal"/>
    <s v="Chessington"/>
    <s v="Whitebridge"/>
    <n v="4.8"/>
    <m/>
  </r>
  <r>
    <n v="574"/>
    <d v="2016-07-20T17:12:00"/>
    <x v="6"/>
    <d v="2016-07-20T17:24:00"/>
    <s v="07"/>
    <s v="Personal"/>
    <s v="Whitebridge"/>
    <s v="Edgehill Farms"/>
    <n v="2.8"/>
    <m/>
  </r>
  <r>
    <n v="575"/>
    <d v="2016-07-20T17:50:00"/>
    <x v="6"/>
    <d v="2016-07-20T17:57:00"/>
    <s v="07"/>
    <s v="Personal"/>
    <s v="Edgehill Farms"/>
    <s v="Preston"/>
    <n v="1.4"/>
    <m/>
  </r>
  <r>
    <n v="576"/>
    <d v="2016-07-20T18:16:00"/>
    <x v="6"/>
    <d v="2016-07-20T18:20:00"/>
    <s v="07"/>
    <s v="Personal"/>
    <s v="Preston"/>
    <s v="Whitebridge"/>
    <n v="1.4"/>
    <m/>
  </r>
  <r>
    <n v="577"/>
    <d v="2016-07-21T17:17:00"/>
    <x v="6"/>
    <d v="2016-07-21T17:23:00"/>
    <s v="07"/>
    <s v="Business"/>
    <s v="Whitebridge"/>
    <s v="Edgehill Farms"/>
    <n v="2.7"/>
    <m/>
  </r>
  <r>
    <n v="578"/>
    <d v="2016-07-21T17:42:00"/>
    <x v="6"/>
    <d v="2016-07-21T17:51:00"/>
    <s v="07"/>
    <s v="Business"/>
    <s v="Edgehill Farms"/>
    <s v="Burtrose"/>
    <n v="2.2999999999999998"/>
    <m/>
  </r>
  <r>
    <n v="579"/>
    <d v="2016-07-21T18:27:00"/>
    <x v="6"/>
    <d v="2016-07-21T18:42:00"/>
    <s v="07"/>
    <s v="Business"/>
    <s v="Cary"/>
    <s v="Morrisville"/>
    <n v="3.7"/>
    <m/>
  </r>
  <r>
    <n v="580"/>
    <d v="2016-07-21T19:30:00"/>
    <x v="6"/>
    <d v="2016-07-21T19:39:00"/>
    <s v="07"/>
    <s v="Business"/>
    <s v="Morrisville"/>
    <s v="Cary"/>
    <n v="2.9"/>
    <m/>
  </r>
  <r>
    <n v="581"/>
    <d v="2016-07-22T10:42:00"/>
    <x v="6"/>
    <d v="2016-07-22T10:53:00"/>
    <s v="07"/>
    <s v="Business"/>
    <s v="Cary"/>
    <s v="Morrisville"/>
    <n v="3.8"/>
    <m/>
  </r>
  <r>
    <n v="582"/>
    <d v="2016-07-22T11:11:00"/>
    <x v="6"/>
    <d v="2016-07-22T11:25:00"/>
    <s v="07"/>
    <s v="Business"/>
    <s v="Morrisville"/>
    <s v="Cary"/>
    <n v="5.0999999999999996"/>
    <m/>
  </r>
  <r>
    <n v="583"/>
    <d v="2016-07-22T11:37:00"/>
    <x v="6"/>
    <d v="2016-07-22T12:00:00"/>
    <s v="07"/>
    <s v="Business"/>
    <s v="Hazelwood"/>
    <s v="Lexington Park at Amberly"/>
    <n v="9.1"/>
    <m/>
  </r>
  <r>
    <n v="584"/>
    <d v="2016-07-22T12:14:00"/>
    <x v="6"/>
    <d v="2016-07-22T12:31:00"/>
    <s v="07"/>
    <s v="Business"/>
    <s v="Cary"/>
    <s v="Durham"/>
    <n v="8"/>
    <m/>
  </r>
  <r>
    <n v="585"/>
    <d v="2016-07-22T13:21:00"/>
    <x v="6"/>
    <d v="2016-07-22T13:42:00"/>
    <s v="07"/>
    <s v="Business"/>
    <s v="Durham"/>
    <s v="Cary"/>
    <n v="9.9"/>
    <s v="Meeting"/>
  </r>
  <r>
    <n v="586"/>
    <d v="2016-07-22T14:27:00"/>
    <x v="6"/>
    <d v="2016-07-22T14:43:00"/>
    <s v="07"/>
    <s v="Business"/>
    <s v="Cary"/>
    <s v="Morrisville"/>
    <n v="6.1"/>
    <s v="Meal/Entertain"/>
  </r>
  <r>
    <n v="587"/>
    <d v="2016-07-22T15:49:00"/>
    <x v="6"/>
    <d v="2016-07-22T16:22:00"/>
    <s v="07"/>
    <s v="Business"/>
    <s v="Morrisville"/>
    <s v="Cary"/>
    <n v="12.2"/>
    <m/>
  </r>
  <r>
    <n v="588"/>
    <d v="2016-07-22T18:33:00"/>
    <x v="6"/>
    <d v="2016-07-22T18:51:00"/>
    <s v="07"/>
    <s v="Business"/>
    <s v="Wayne Ridge"/>
    <s v="Whitebridge"/>
    <n v="8"/>
    <m/>
  </r>
  <r>
    <n v="589"/>
    <d v="2016-07-23T14:27:00"/>
    <x v="6"/>
    <d v="2016-07-23T14:44:00"/>
    <s v="07"/>
    <s v="Business"/>
    <s v="Cary"/>
    <s v="Morrisville"/>
    <n v="4"/>
    <m/>
  </r>
  <r>
    <n v="590"/>
    <d v="2016-07-23T14:48:00"/>
    <x v="6"/>
    <d v="2016-07-23T15:12:00"/>
    <s v="07"/>
    <s v="Business"/>
    <s v="Morrisville"/>
    <s v="Cary"/>
    <n v="9.5"/>
    <m/>
  </r>
  <r>
    <n v="591"/>
    <d v="2016-07-23T15:15:00"/>
    <x v="6"/>
    <d v="2016-07-23T15:27:00"/>
    <s v="07"/>
    <s v="Business"/>
    <s v="Cary"/>
    <s v="Morrisville"/>
    <n v="3"/>
    <m/>
  </r>
  <r>
    <n v="592"/>
    <d v="2016-07-23T15:50:00"/>
    <x v="6"/>
    <d v="2016-07-23T16:10:00"/>
    <s v="07"/>
    <s v="Business"/>
    <s v="Morrisville"/>
    <s v="Cary"/>
    <n v="6.3"/>
    <m/>
  </r>
  <r>
    <n v="593"/>
    <d v="2016-07-23T20:17:00"/>
    <x v="6"/>
    <d v="2016-07-23T20:33:00"/>
    <s v="07"/>
    <s v="Business"/>
    <s v="Cary"/>
    <s v="Durham"/>
    <n v="10.4"/>
    <s v="Meeting"/>
  </r>
  <r>
    <n v="594"/>
    <d v="2016-07-23T23:18:00"/>
    <x v="6"/>
    <d v="2016-07-23T23:43:00"/>
    <s v="07"/>
    <s v="Business"/>
    <s v="Durham"/>
    <s v="Cary"/>
    <n v="9.9"/>
    <s v="Meeting"/>
  </r>
  <r>
    <n v="595"/>
    <d v="2016-07-25T10:35:00"/>
    <x v="6"/>
    <d v="2016-07-25T10:41:00"/>
    <s v="07"/>
    <s v="Business"/>
    <s v="Whitebridge"/>
    <s v="Parkway"/>
    <n v="1.5"/>
    <m/>
  </r>
  <r>
    <n v="596"/>
    <d v="2016-07-25T10:47:00"/>
    <x v="6"/>
    <d v="2016-07-25T10:58:00"/>
    <s v="07"/>
    <s v="Business"/>
    <s v="Cary"/>
    <s v="Morrisville"/>
    <n v="4.9000000000000004"/>
    <m/>
  </r>
  <r>
    <n v="597"/>
    <d v="2016-07-25T11:04:00"/>
    <x v="6"/>
    <d v="2016-07-25T11:33:00"/>
    <s v="07"/>
    <s v="Business"/>
    <s v="Morrisville"/>
    <s v="Cary"/>
    <n v="7.9"/>
    <m/>
  </r>
  <r>
    <n v="598"/>
    <d v="2016-07-25T11:37:00"/>
    <x v="6"/>
    <d v="2016-07-25T11:44:00"/>
    <s v="07"/>
    <s v="Business"/>
    <s v="Parkway"/>
    <s v="Whitebridge"/>
    <n v="1.7"/>
    <m/>
  </r>
  <r>
    <n v="599"/>
    <d v="2016-07-26T15:43:00"/>
    <x v="6"/>
    <d v="2016-07-26T15:49:00"/>
    <s v="07"/>
    <s v="Business"/>
    <s v="Whitebridge"/>
    <s v="Westpark Place"/>
    <n v="2.2000000000000002"/>
    <m/>
  </r>
  <r>
    <n v="600"/>
    <d v="2016-07-26T17:14:00"/>
    <x v="6"/>
    <d v="2016-07-26T17:24:00"/>
    <s v="07"/>
    <s v="Business"/>
    <s v="Westpark Place"/>
    <s v="Whitebridge"/>
    <n v="2.1"/>
    <m/>
  </r>
  <r>
    <n v="601"/>
    <d v="2016-07-26T20:52:00"/>
    <x v="6"/>
    <d v="2016-07-26T21:00:00"/>
    <s v="07"/>
    <s v="Business"/>
    <s v="Cary"/>
    <s v="Morrisville"/>
    <n v="2.5"/>
    <s v="Meal/Entertain"/>
  </r>
  <r>
    <n v="602"/>
    <d v="2016-07-26T22:31:00"/>
    <x v="6"/>
    <d v="2016-07-26T22:39:00"/>
    <s v="07"/>
    <s v="Business"/>
    <s v="Morrisville"/>
    <s v="Cary"/>
    <n v="2.5"/>
    <s v="Meal/Entertain"/>
  </r>
  <r>
    <n v="603"/>
    <d v="2016-07-27T19:08:00"/>
    <x v="6"/>
    <d v="2016-07-27T19:20:00"/>
    <s v="07"/>
    <s v="Business"/>
    <s v="Cary"/>
    <s v="Morrisville"/>
    <n v="2.8"/>
    <m/>
  </r>
  <r>
    <n v="604"/>
    <d v="2016-07-27T21:34:00"/>
    <x v="6"/>
    <d v="2016-07-27T21:57:00"/>
    <s v="07"/>
    <s v="Business"/>
    <s v="Morrisville"/>
    <s v="Raleigh"/>
    <n v="14.7"/>
    <m/>
  </r>
  <r>
    <n v="605"/>
    <d v="2016-07-27T22:00:00"/>
    <x v="6"/>
    <d v="2016-07-27T22:26:00"/>
    <s v="07"/>
    <s v="Business"/>
    <s v="Raleigh"/>
    <s v="Morrisville"/>
    <n v="14.6"/>
    <m/>
  </r>
  <r>
    <n v="606"/>
    <d v="2016-07-28T00:04:00"/>
    <x v="6"/>
    <d v="2016-07-28T00:09:00"/>
    <s v="07"/>
    <s v="Business"/>
    <s v="Morrisville"/>
    <s v="Cary"/>
    <n v="2.2999999999999998"/>
    <m/>
  </r>
  <r>
    <n v="607"/>
    <d v="2016-07-29T15:45:00"/>
    <x v="6"/>
    <d v="2016-07-29T15:47:00"/>
    <s v="07"/>
    <s v="Business"/>
    <s v="Whitebridge"/>
    <s v="Westpark Place"/>
    <n v="2.2000000000000002"/>
    <m/>
  </r>
  <r>
    <n v="608"/>
    <d v="2016-07-29T17:27:00"/>
    <x v="6"/>
    <d v="2016-07-29T17:45:00"/>
    <s v="07"/>
    <s v="Business"/>
    <s v="Westpark Place"/>
    <s v="Whitebridge"/>
    <n v="2.2000000000000002"/>
    <s v="Meal/Entertain"/>
  </r>
  <r>
    <n v="609"/>
    <d v="2016-07-30T17:02:00"/>
    <x v="6"/>
    <d v="2016-07-30T17:27:00"/>
    <s v="07"/>
    <s v="Business"/>
    <s v="Cary"/>
    <s v="Durham"/>
    <n v="14"/>
    <m/>
  </r>
  <r>
    <n v="610"/>
    <d v="2016-07-30T21:16:00"/>
    <x v="6"/>
    <d v="2016-07-30T21:41:00"/>
    <s v="07"/>
    <s v="Business"/>
    <s v="Durham"/>
    <s v="Cary"/>
    <n v="13.3"/>
    <m/>
  </r>
  <r>
    <n v="611"/>
    <d v="2016-07-31T17:30:00"/>
    <x v="6"/>
    <d v="2016-07-31T17:37:00"/>
    <s v="07"/>
    <s v="Business"/>
    <s v="Westpark Place"/>
    <s v="Whitebridge"/>
    <n v="1.8"/>
    <m/>
  </r>
  <r>
    <n v="612"/>
    <d v="2016-08-01T12:47:00"/>
    <x v="7"/>
    <d v="2016-08-01T13:04:00"/>
    <s v="08"/>
    <s v="Business"/>
    <s v="Whitebridge"/>
    <s v="Arlington Park at Amberly"/>
    <n v="6.2"/>
    <m/>
  </r>
  <r>
    <n v="613"/>
    <d v="2016-08-01T13:08:00"/>
    <x v="7"/>
    <d v="2016-08-01T13:19:00"/>
    <s v="08"/>
    <s v="Business"/>
    <s v="Arlington Park at Amberly"/>
    <s v="Lexington Park at Amberly"/>
    <n v="1.3"/>
    <m/>
  </r>
  <r>
    <n v="614"/>
    <d v="2016-08-01T13:28:00"/>
    <x v="7"/>
    <d v="2016-08-01T13:46:00"/>
    <s v="08"/>
    <s v="Business"/>
    <s v="Lexington Park at Amberly"/>
    <s v="Westpark Place"/>
    <n v="1.9"/>
    <m/>
  </r>
  <r>
    <n v="615"/>
    <d v="2016-08-01T13:52:00"/>
    <x v="7"/>
    <d v="2016-08-01T14:14:00"/>
    <s v="08"/>
    <s v="Business"/>
    <s v="Cary"/>
    <s v="Apex"/>
    <n v="6.9"/>
    <m/>
  </r>
  <r>
    <n v="616"/>
    <d v="2016-08-01T15:40:00"/>
    <x v="7"/>
    <d v="2016-08-01T15:47:00"/>
    <s v="08"/>
    <s v="Business"/>
    <s v="Apex"/>
    <s v="Cary"/>
    <n v="4.5999999999999996"/>
    <m/>
  </r>
  <r>
    <n v="617"/>
    <d v="2016-08-01T16:18:00"/>
    <x v="7"/>
    <d v="2016-08-01T16:25:00"/>
    <s v="08"/>
    <s v="Business"/>
    <s v="Whitebridge"/>
    <s v="Edgehill Farms"/>
    <n v="2.8"/>
    <m/>
  </r>
  <r>
    <n v="618"/>
    <d v="2016-08-01T16:29:00"/>
    <x v="7"/>
    <d v="2016-08-01T16:59:00"/>
    <s v="08"/>
    <s v="Business"/>
    <s v="Cary"/>
    <s v="Morrisville"/>
    <n v="9.1"/>
    <m/>
  </r>
  <r>
    <n v="619"/>
    <d v="2016-08-01T17:23:00"/>
    <x v="7"/>
    <d v="2016-08-01T17:55:00"/>
    <s v="08"/>
    <s v="Business"/>
    <s v="Morrisville"/>
    <s v="Cary"/>
    <n v="8.1"/>
    <m/>
  </r>
  <r>
    <n v="620"/>
    <d v="2016-08-02T08:11:00"/>
    <x v="7"/>
    <d v="2016-08-02T08:32:00"/>
    <s v="08"/>
    <s v="Business"/>
    <s v="Cary"/>
    <s v="Morrisville"/>
    <n v="8.4"/>
    <s v="Meeting"/>
  </r>
  <r>
    <n v="621"/>
    <d v="2016-08-02T11:51:00"/>
    <x v="7"/>
    <d v="2016-08-02T12:15:00"/>
    <s v="08"/>
    <s v="Business"/>
    <s v="Arlington"/>
    <s v="Washington"/>
    <n v="4.9000000000000004"/>
    <m/>
  </r>
  <r>
    <n v="622"/>
    <d v="2016-08-02T19:15:00"/>
    <x v="7"/>
    <d v="2016-08-02T19:23:00"/>
    <s v="08"/>
    <s v="Business"/>
    <s v="Kalorama Triangle"/>
    <s v="K Street"/>
    <n v="1"/>
    <m/>
  </r>
  <r>
    <n v="623"/>
    <d v="2016-08-02T21:23:00"/>
    <x v="7"/>
    <d v="2016-08-02T21:29:00"/>
    <s v="08"/>
    <s v="Business"/>
    <s v="K Street"/>
    <s v="Kalorama Triangle"/>
    <n v="1"/>
    <m/>
  </r>
  <r>
    <n v="624"/>
    <d v="2016-08-03T12:46:00"/>
    <x v="7"/>
    <d v="2016-08-03T13:00:00"/>
    <s v="08"/>
    <s v="Business"/>
    <s v="West End"/>
    <s v="Northwest Rectangle"/>
    <n v="2"/>
    <m/>
  </r>
  <r>
    <n v="625"/>
    <d v="2016-08-03T14:59:00"/>
    <x v="7"/>
    <d v="2016-08-03T15:03:00"/>
    <s v="08"/>
    <s v="Business"/>
    <s v="K Street"/>
    <s v="Kalorama Triangle"/>
    <n v="1.1000000000000001"/>
    <m/>
  </r>
  <r>
    <n v="626"/>
    <d v="2016-08-03T16:00:00"/>
    <x v="7"/>
    <d v="2016-08-03T16:04:00"/>
    <s v="08"/>
    <s v="Business"/>
    <s v="Kalorama Triangle"/>
    <s v="Downtown"/>
    <n v="1.5"/>
    <m/>
  </r>
  <r>
    <n v="627"/>
    <d v="2016-08-05T17:23:00"/>
    <x v="7"/>
    <d v="2016-08-05T17:30:00"/>
    <s v="08"/>
    <s v="Business"/>
    <s v="Connecticut Avenue"/>
    <s v="Kalorama Triangle"/>
    <n v="1.3"/>
    <m/>
  </r>
  <r>
    <n v="628"/>
    <d v="2016-08-05T18:17:00"/>
    <x v="7"/>
    <d v="2016-08-05T18:21:00"/>
    <s v="08"/>
    <s v="Business"/>
    <s v="Kalorama Triangle"/>
    <s v="Columbia Heights"/>
    <n v="1.8"/>
    <m/>
  </r>
  <r>
    <n v="629"/>
    <d v="2016-08-05T19:17:00"/>
    <x v="7"/>
    <d v="2016-08-05T19:27:00"/>
    <s v="08"/>
    <s v="Business"/>
    <s v="Columbia Heights"/>
    <s v="Kalorama Triangle"/>
    <n v="1.5"/>
    <m/>
  </r>
  <r>
    <n v="630"/>
    <d v="2016-08-06T06:40:00"/>
    <x v="7"/>
    <d v="2016-08-06T06:58:00"/>
    <s v="08"/>
    <s v="Business"/>
    <s v="Washington"/>
    <s v="Arlington"/>
    <n v="6.6"/>
    <m/>
  </r>
  <r>
    <n v="631"/>
    <d v="2016-08-06T09:31:00"/>
    <x v="7"/>
    <d v="2016-08-06T09:53:00"/>
    <s v="08"/>
    <s v="Business"/>
    <s v="Morrisville"/>
    <s v="Cary"/>
    <n v="8"/>
    <m/>
  </r>
  <r>
    <n v="632"/>
    <d v="2016-08-07T17:14:00"/>
    <x v="7"/>
    <d v="2016-08-07T17:23:00"/>
    <s v="08"/>
    <s v="Business"/>
    <s v="Whitebridge"/>
    <s v="Edgehill Farms"/>
    <n v="2.7"/>
    <m/>
  </r>
  <r>
    <n v="633"/>
    <d v="2016-08-07T17:28:00"/>
    <x v="7"/>
    <d v="2016-08-07T17:43:00"/>
    <s v="08"/>
    <s v="Business"/>
    <s v="Edgehill Farms"/>
    <s v="Whitebridge"/>
    <n v="2.7"/>
    <s v="Customer Visit"/>
  </r>
  <r>
    <n v="634"/>
    <d v="2016-08-07T18:17:00"/>
    <x v="7"/>
    <d v="2016-08-07T18:23:00"/>
    <s v="08"/>
    <s v="Business"/>
    <s v="Cary"/>
    <s v="Morrisville"/>
    <n v="2.5"/>
    <m/>
  </r>
  <r>
    <n v="635"/>
    <d v="2016-08-07T20:15:00"/>
    <x v="7"/>
    <d v="2016-08-07T20:23:00"/>
    <s v="08"/>
    <s v="Business"/>
    <s v="Morrisville"/>
    <s v="Cary"/>
    <n v="2.5"/>
    <s v="Meal/Entertain"/>
  </r>
  <r>
    <n v="636"/>
    <d v="2016-08-08T16:17:00"/>
    <x v="7"/>
    <d v="2016-08-08T16:31:00"/>
    <s v="08"/>
    <s v="Business"/>
    <s v="Whitebridge"/>
    <s v="Farmington Woods"/>
    <n v="5.2"/>
    <m/>
  </r>
  <r>
    <n v="637"/>
    <d v="2016-08-08T16:37:00"/>
    <x v="7"/>
    <d v="2016-08-08T16:50:00"/>
    <s v="08"/>
    <s v="Business"/>
    <s v="Farmington Woods"/>
    <s v="Edgehill Farms"/>
    <n v="4"/>
    <m/>
  </r>
  <r>
    <n v="638"/>
    <d v="2016-08-08T17:02:00"/>
    <x v="7"/>
    <d v="2016-08-08T17:13:00"/>
    <s v="08"/>
    <s v="Business"/>
    <s v="Edgehill Farms"/>
    <s v="Whitebridge"/>
    <n v="2.7"/>
    <s v="Customer Visit"/>
  </r>
  <r>
    <n v="639"/>
    <d v="2016-08-08T21:50:00"/>
    <x v="7"/>
    <d v="2016-08-08T22:15:00"/>
    <s v="08"/>
    <s v="Business"/>
    <s v="Cary"/>
    <s v="Morrisville"/>
    <n v="4.8"/>
    <m/>
  </r>
  <r>
    <n v="640"/>
    <d v="2016-08-08T23:28:00"/>
    <x v="7"/>
    <d v="2016-08-08T23:37:00"/>
    <s v="08"/>
    <s v="Business"/>
    <s v="Morrisville"/>
    <s v="Cary"/>
    <n v="3.2"/>
    <s v="Customer Visit"/>
  </r>
  <r>
    <n v="641"/>
    <d v="2016-08-09T14:20:00"/>
    <x v="7"/>
    <d v="2016-08-09T14:38:00"/>
    <s v="08"/>
    <s v="Business"/>
    <s v="Whitebridge"/>
    <s v="Waverly Place"/>
    <n v="6.9"/>
    <m/>
  </r>
  <r>
    <n v="642"/>
    <d v="2016-08-09T15:15:00"/>
    <x v="7"/>
    <d v="2016-08-09T15:36:00"/>
    <s v="08"/>
    <s v="Business"/>
    <s v="Cary"/>
    <s v="Raleigh"/>
    <n v="14.9"/>
    <m/>
  </r>
  <r>
    <n v="643"/>
    <d v="2016-08-09T16:04:00"/>
    <x v="7"/>
    <d v="2016-08-09T16:37:00"/>
    <s v="08"/>
    <s v="Business"/>
    <s v="Raleigh"/>
    <s v="Cary"/>
    <n v="17.399999999999999"/>
    <m/>
  </r>
  <r>
    <n v="644"/>
    <d v="2016-08-10T16:56:00"/>
    <x v="7"/>
    <d v="2016-08-10T17:24:00"/>
    <s v="08"/>
    <s v="Business"/>
    <s v="Cary"/>
    <s v="Durham"/>
    <n v="12.9"/>
    <m/>
  </r>
  <r>
    <n v="645"/>
    <d v="2016-08-10T17:53:00"/>
    <x v="7"/>
    <d v="2016-08-10T18:28:00"/>
    <s v="08"/>
    <s v="Business"/>
    <s v="Durham"/>
    <s v="Apex"/>
    <n v="15.3"/>
    <m/>
  </r>
  <r>
    <n v="646"/>
    <d v="2016-08-10T18:49:00"/>
    <x v="7"/>
    <d v="2016-08-10T18:50:00"/>
    <s v="08"/>
    <s v="Business"/>
    <s v="Apex"/>
    <s v="Apex"/>
    <n v="1"/>
    <m/>
  </r>
  <r>
    <n v="647"/>
    <d v="2016-08-10T19:47:00"/>
    <x v="7"/>
    <d v="2016-08-10T20:02:00"/>
    <s v="08"/>
    <s v="Business"/>
    <s v="Apex"/>
    <s v="Cary"/>
    <n v="6"/>
    <m/>
  </r>
  <r>
    <n v="648"/>
    <d v="2016-08-11T12:53:00"/>
    <x v="7"/>
    <d v="2016-08-11T13:00:00"/>
    <s v="08"/>
    <s v="Business"/>
    <s v="Whitebridge"/>
    <s v="Heritage Pines"/>
    <n v="2.2000000000000002"/>
    <m/>
  </r>
  <r>
    <n v="649"/>
    <d v="2016-08-11T13:14:00"/>
    <x v="7"/>
    <d v="2016-08-11T13:28:00"/>
    <s v="08"/>
    <s v="Business"/>
    <s v="Heritage Pines"/>
    <s v="Edgehill Farms"/>
    <n v="4.4000000000000004"/>
    <m/>
  </r>
  <r>
    <n v="650"/>
    <d v="2016-08-11T13:32:00"/>
    <x v="7"/>
    <d v="2016-08-11T13:42:00"/>
    <s v="08"/>
    <s v="Business"/>
    <s v="Edgehill Farms"/>
    <s v="Whitebridge"/>
    <n v="2.8"/>
    <m/>
  </r>
  <r>
    <n v="651"/>
    <d v="2016-08-11T18:37:00"/>
    <x v="7"/>
    <d v="2016-08-11T19:29:00"/>
    <s v="08"/>
    <s v="Business"/>
    <s v="Cary"/>
    <s v="Wake Forest"/>
    <n v="31.7"/>
    <m/>
  </r>
  <r>
    <n v="652"/>
    <d v="2016-08-11T20:59:00"/>
    <x v="7"/>
    <d v="2016-08-11T21:44:00"/>
    <s v="08"/>
    <s v="Business"/>
    <s v="Wake Forest"/>
    <s v="Cary"/>
    <n v="31.9"/>
    <m/>
  </r>
  <r>
    <n v="653"/>
    <d v="2016-08-12T18:49:00"/>
    <x v="7"/>
    <d v="2016-08-12T18:52:00"/>
    <s v="08"/>
    <s v="Business"/>
    <s v="Whitebridge"/>
    <s v="Westpark Place"/>
    <n v="1.9"/>
    <m/>
  </r>
  <r>
    <n v="654"/>
    <d v="2016-08-12T18:56:00"/>
    <x v="7"/>
    <d v="2016-08-12T19:05:00"/>
    <s v="08"/>
    <s v="Business"/>
    <s v="Westpark Place"/>
    <s v="Whitebridge"/>
    <n v="1.8"/>
    <m/>
  </r>
  <r>
    <n v="655"/>
    <d v="2016-08-13T15:35:00"/>
    <x v="7"/>
    <d v="2016-08-13T15:58:00"/>
    <s v="08"/>
    <s v="Business"/>
    <s v="Cary"/>
    <s v="Morrisville"/>
    <n v="8.4"/>
    <s v="Meeting"/>
  </r>
  <r>
    <n v="656"/>
    <d v="2016-08-15T09:05:00"/>
    <x v="7"/>
    <d v="2016-08-15T09:52:00"/>
    <s v="08"/>
    <s v="Business"/>
    <s v="R?walpindi"/>
    <s v="Unknown Location"/>
    <n v="15.6"/>
    <m/>
  </r>
  <r>
    <n v="663"/>
    <d v="2016-08-16T10:06:00"/>
    <x v="7"/>
    <d v="2016-08-16T10:27:00"/>
    <s v="08"/>
    <s v="Business"/>
    <s v="Unknown Location"/>
    <s v="Islamabad"/>
    <n v="5.7"/>
    <m/>
  </r>
  <r>
    <n v="664"/>
    <d v="2016-08-16T10:31:00"/>
    <x v="7"/>
    <d v="2016-08-16T10:38:00"/>
    <s v="08"/>
    <s v="Business"/>
    <s v="Islamabad"/>
    <s v="Islamabad"/>
    <n v="1.2"/>
    <m/>
  </r>
  <r>
    <n v="665"/>
    <d v="2016-08-16T11:47:00"/>
    <x v="7"/>
    <d v="2016-08-16T12:03:00"/>
    <s v="08"/>
    <s v="Business"/>
    <s v="Islamabad"/>
    <s v="Unknown Location"/>
    <n v="5.7"/>
    <s v="Temporary Site"/>
  </r>
  <r>
    <n v="669"/>
    <d v="2016-08-17T14:45:00"/>
    <x v="7"/>
    <d v="2016-08-17T14:50:00"/>
    <s v="08"/>
    <s v="Business"/>
    <s v="Unknown Location"/>
    <s v="R?walpindi"/>
    <n v="1.4"/>
    <m/>
  </r>
  <r>
    <n v="670"/>
    <d v="2016-08-17T15:32:00"/>
    <x v="7"/>
    <d v="2016-08-17T15:47:00"/>
    <s v="08"/>
    <s v="Business"/>
    <s v="R?walpindi"/>
    <s v="Islamabad"/>
    <n v="6.4"/>
    <m/>
  </r>
  <r>
    <n v="671"/>
    <d v="2016-08-17T16:29:00"/>
    <x v="7"/>
    <d v="2016-08-17T16:50:00"/>
    <s v="08"/>
    <s v="Business"/>
    <s v="Islamabad"/>
    <s v="Unknown Location"/>
    <n v="7.3"/>
    <m/>
  </r>
  <r>
    <n v="676"/>
    <d v="2016-08-19T08:24:00"/>
    <x v="7"/>
    <d v="2016-08-19T08:45:00"/>
    <s v="08"/>
    <s v="Business"/>
    <s v="Unknown Location"/>
    <s v="Noorpur Shahan"/>
    <n v="7.6"/>
    <m/>
  </r>
  <r>
    <n v="677"/>
    <d v="2016-08-19T08:54:00"/>
    <x v="7"/>
    <d v="2016-08-19T09:07:00"/>
    <s v="08"/>
    <s v="Business"/>
    <s v="Noorpur Shahan"/>
    <s v="Islamabad"/>
    <n v="3.3"/>
    <m/>
  </r>
  <r>
    <n v="678"/>
    <d v="2016-08-19T09:27:00"/>
    <x v="7"/>
    <d v="2016-08-19T09:47:00"/>
    <s v="08"/>
    <s v="Business"/>
    <s v="Islamabad"/>
    <s v="R?walpindi"/>
    <n v="6.5"/>
    <m/>
  </r>
  <r>
    <n v="679"/>
    <d v="2016-08-19T10:57:00"/>
    <x v="7"/>
    <d v="2016-08-19T11:06:00"/>
    <s v="08"/>
    <s v="Business"/>
    <s v="R?walpindi"/>
    <s v="Unknown Location"/>
    <n v="2"/>
    <m/>
  </r>
  <r>
    <n v="680"/>
    <d v="2016-08-19T12:07:00"/>
    <x v="7"/>
    <d v="2016-08-19T12:24:00"/>
    <s v="08"/>
    <s v="Business"/>
    <s v="Unknown Location"/>
    <s v="Islamabad"/>
    <n v="5.7"/>
    <m/>
  </r>
  <r>
    <n v="681"/>
    <d v="2016-08-19T15:51:00"/>
    <x v="7"/>
    <d v="2016-08-19T16:06:00"/>
    <s v="08"/>
    <s v="Business"/>
    <s v="Islamabad"/>
    <s v="Islamabad"/>
    <n v="3.2"/>
    <m/>
  </r>
  <r>
    <n v="682"/>
    <d v="2016-08-19T17:12:00"/>
    <x v="7"/>
    <d v="2016-08-19T17:52:00"/>
    <s v="08"/>
    <s v="Business"/>
    <s v="Islamabad"/>
    <s v="Unknown Location"/>
    <n v="12.5"/>
    <m/>
  </r>
  <r>
    <n v="685"/>
    <d v="2016-08-21T16:30:00"/>
    <x v="7"/>
    <d v="2016-08-21T17:02:00"/>
    <s v="08"/>
    <s v="Business"/>
    <s v="Unknown Location"/>
    <s v="Islamabad"/>
    <n v="12.2"/>
    <m/>
  </r>
  <r>
    <n v="686"/>
    <d v="2016-08-21T18:10:00"/>
    <x v="7"/>
    <d v="2016-08-21T18:17:00"/>
    <s v="08"/>
    <s v="Business"/>
    <s v="Islamabad"/>
    <s v="Islamabad"/>
    <n v="1.4"/>
    <m/>
  </r>
  <r>
    <n v="687"/>
    <d v="2016-08-21T18:48:00"/>
    <x v="7"/>
    <d v="2016-08-21T19:24:00"/>
    <s v="08"/>
    <s v="Business"/>
    <s v="Islamabad"/>
    <s v="Unknown Location"/>
    <n v="20.2"/>
    <m/>
  </r>
  <r>
    <n v="688"/>
    <d v="2016-08-22T10:00:00"/>
    <x v="7"/>
    <d v="2016-08-22T10:44:00"/>
    <s v="08"/>
    <s v="Business"/>
    <s v="Unknown Location"/>
    <s v="Islamabad"/>
    <n v="9.8000000000000007"/>
    <m/>
  </r>
  <r>
    <n v="689"/>
    <d v="2016-08-22T11:07:00"/>
    <x v="7"/>
    <d v="2016-08-22T11:23:00"/>
    <s v="08"/>
    <s v="Business"/>
    <s v="Islamabad"/>
    <s v="Unknown Location"/>
    <n v="6.3"/>
    <m/>
  </r>
  <r>
    <n v="690"/>
    <d v="2016-08-22T12:36:00"/>
    <x v="7"/>
    <d v="2016-08-22T12:49:00"/>
    <s v="08"/>
    <s v="Business"/>
    <s v="Unknown Location"/>
    <s v="Islamabad"/>
    <n v="4.9000000000000004"/>
    <m/>
  </r>
  <r>
    <n v="691"/>
    <d v="2016-08-22T13:02:00"/>
    <x v="7"/>
    <d v="2016-08-22T13:11:00"/>
    <s v="08"/>
    <s v="Business"/>
    <s v="Islamabad"/>
    <s v="Islamabad"/>
    <n v="1.5"/>
    <m/>
  </r>
  <r>
    <n v="692"/>
    <d v="2016-08-22T14:07:00"/>
    <x v="7"/>
    <d v="2016-08-22T14:31:00"/>
    <s v="08"/>
    <s v="Business"/>
    <s v="Islamabad"/>
    <s v="Unknown Location"/>
    <n v="10.9"/>
    <m/>
  </r>
  <r>
    <n v="695"/>
    <d v="2016-08-22T19:58:00"/>
    <x v="7"/>
    <d v="2016-08-22T20:50:00"/>
    <s v="08"/>
    <s v="Business"/>
    <s v="Unknown Location"/>
    <s v="R?walpindi"/>
    <n v="7.9"/>
    <m/>
  </r>
  <r>
    <n v="696"/>
    <d v="2016-08-22T20:53:00"/>
    <x v="7"/>
    <d v="2016-08-22T21:31:00"/>
    <s v="08"/>
    <s v="Business"/>
    <s v="R?walpindi"/>
    <s v="R?walpindi"/>
    <n v="4.0999999999999996"/>
    <m/>
  </r>
  <r>
    <n v="697"/>
    <d v="2016-08-22T22:31:00"/>
    <x v="7"/>
    <d v="2016-08-22T23:00:00"/>
    <s v="08"/>
    <s v="Business"/>
    <s v="R?walpindi"/>
    <s v="Unknown Location"/>
    <n v="18.7"/>
    <m/>
  </r>
  <r>
    <n v="698"/>
    <d v="2016-08-23T08:10:00"/>
    <x v="7"/>
    <d v="2016-08-23T08:25:00"/>
    <s v="08"/>
    <s v="Business"/>
    <s v="Unknown Location"/>
    <s v="Noorpur Shahan"/>
    <n v="8.6999999999999993"/>
    <m/>
  </r>
  <r>
    <n v="699"/>
    <d v="2016-08-23T09:35:00"/>
    <x v="7"/>
    <d v="2016-08-23T10:09:00"/>
    <s v="08"/>
    <s v="Business"/>
    <s v="Noorpur Shahan"/>
    <s v="Unknown Location"/>
    <n v="7.5"/>
    <m/>
  </r>
  <r>
    <n v="700"/>
    <d v="2016-08-23T12:59:00"/>
    <x v="7"/>
    <d v="2016-08-23T13:15:00"/>
    <s v="08"/>
    <s v="Business"/>
    <s v="Unknown Location"/>
    <s v="Noorpur Shahan"/>
    <n v="7.7"/>
    <m/>
  </r>
  <r>
    <n v="701"/>
    <d v="2016-08-23T13:19:00"/>
    <x v="7"/>
    <d v="2016-08-23T13:30:00"/>
    <s v="08"/>
    <s v="Business"/>
    <s v="Noorpur Shahan"/>
    <s v="Islamabad"/>
    <n v="4.4000000000000004"/>
    <m/>
  </r>
  <r>
    <n v="702"/>
    <d v="2016-08-23T13:49:00"/>
    <x v="7"/>
    <d v="2016-08-23T14:04:00"/>
    <s v="08"/>
    <s v="Business"/>
    <s v="Islamabad"/>
    <s v="Unknown Location"/>
    <n v="5"/>
    <m/>
  </r>
  <r>
    <n v="711"/>
    <d v="2016-08-25T19:25:00"/>
    <x v="7"/>
    <d v="2016-08-25T19:57:00"/>
    <s v="08"/>
    <s v="Business"/>
    <s v="Unknown Location"/>
    <s v="Lahore"/>
    <n v="9.1999999999999993"/>
    <m/>
  </r>
  <r>
    <n v="712"/>
    <d v="2016-08-25T22:58:00"/>
    <x v="7"/>
    <d v="2016-08-25T23:16:00"/>
    <s v="08"/>
    <s v="Business"/>
    <s v="Lahore"/>
    <s v="Unknown Location"/>
    <n v="7.3"/>
    <m/>
  </r>
  <r>
    <n v="715"/>
    <d v="2016-08-26T12:10:00"/>
    <x v="7"/>
    <d v="2016-08-26T12:20:00"/>
    <s v="08"/>
    <s v="Business"/>
    <s v="Unknown Location"/>
    <s v="Lahore"/>
    <n v="3.9"/>
    <m/>
  </r>
  <r>
    <n v="716"/>
    <d v="2016-08-26T14:10:00"/>
    <x v="7"/>
    <d v="2016-08-26T14:33:00"/>
    <s v="08"/>
    <s v="Business"/>
    <s v="Lahore"/>
    <s v="Lahore"/>
    <n v="7.4"/>
    <m/>
  </r>
  <r>
    <n v="717"/>
    <d v="2016-08-26T15:23:00"/>
    <x v="7"/>
    <d v="2016-08-26T15:35:00"/>
    <s v="08"/>
    <s v="Business"/>
    <s v="Lahore"/>
    <s v="Lahore"/>
    <n v="1.5"/>
    <m/>
  </r>
  <r>
    <n v="718"/>
    <d v="2016-08-26T15:59:00"/>
    <x v="7"/>
    <d v="2016-08-26T16:24:00"/>
    <s v="08"/>
    <s v="Business"/>
    <s v="Lahore"/>
    <s v="Unknown Location"/>
    <n v="7.9"/>
    <m/>
  </r>
  <r>
    <n v="719"/>
    <d v="2016-08-26T16:55:00"/>
    <x v="7"/>
    <d v="2016-08-26T17:12:00"/>
    <s v="08"/>
    <s v="Business"/>
    <s v="Unknown Location"/>
    <s v="Lahore"/>
    <n v="2.9"/>
    <m/>
  </r>
  <r>
    <n v="720"/>
    <d v="2016-08-26T18:42:00"/>
    <x v="7"/>
    <d v="2016-08-26T18:56:00"/>
    <s v="08"/>
    <s v="Business"/>
    <s v="Lahore"/>
    <s v="Lahore"/>
    <n v="3.4"/>
    <m/>
  </r>
  <r>
    <n v="721"/>
    <d v="2016-08-26T19:31:00"/>
    <x v="7"/>
    <d v="2016-08-26T19:54:00"/>
    <s v="08"/>
    <s v="Business"/>
    <s v="Lahore"/>
    <s v="Lahore"/>
    <n v="3.8"/>
    <m/>
  </r>
  <r>
    <n v="722"/>
    <d v="2016-08-26T20:06:00"/>
    <x v="7"/>
    <d v="2016-08-26T20:16:00"/>
    <s v="08"/>
    <s v="Business"/>
    <s v="Lahore"/>
    <s v="Unknown Location"/>
    <n v="5.9"/>
    <m/>
  </r>
  <r>
    <n v="723"/>
    <d v="2016-08-27T09:34:00"/>
    <x v="7"/>
    <d v="2016-08-27T10:11:00"/>
    <s v="08"/>
    <s v="Business"/>
    <s v="Unknown Location"/>
    <s v="Lahore"/>
    <n v="9.6"/>
    <m/>
  </r>
  <r>
    <n v="724"/>
    <d v="2016-08-27T11:47:00"/>
    <x v="7"/>
    <d v="2016-08-27T12:06:00"/>
    <s v="08"/>
    <s v="Business"/>
    <s v="Lahore"/>
    <s v="Lahore"/>
    <n v="7"/>
    <m/>
  </r>
  <r>
    <n v="725"/>
    <d v="2016-08-27T12:12:00"/>
    <x v="7"/>
    <d v="2016-08-27T12:17:00"/>
    <s v="08"/>
    <s v="Business"/>
    <s v="Lahore"/>
    <s v="Lahore"/>
    <n v="0.9"/>
    <m/>
  </r>
  <r>
    <n v="726"/>
    <d v="2016-08-27T14:01:00"/>
    <x v="7"/>
    <d v="2016-08-27T15:44:00"/>
    <s v="08"/>
    <s v="Business"/>
    <s v="Lahore"/>
    <s v="Unknown Location"/>
    <n v="86.6"/>
    <m/>
  </r>
  <r>
    <n v="728"/>
    <d v="2016-08-28T09:57:00"/>
    <x v="7"/>
    <d v="2016-08-28T10:18:00"/>
    <s v="08"/>
    <s v="Business"/>
    <s v="Unknown Location"/>
    <s v="Noorpur Shahan"/>
    <n v="10.1"/>
    <m/>
  </r>
  <r>
    <n v="729"/>
    <d v="2016-08-28T16:39:00"/>
    <x v="7"/>
    <d v="2016-08-28T16:55:00"/>
    <s v="08"/>
    <s v="Business"/>
    <s v="Noorpur Shahan"/>
    <s v="Islamabad"/>
    <n v="6.2"/>
    <m/>
  </r>
  <r>
    <n v="730"/>
    <d v="2016-08-28T17:37:00"/>
    <x v="7"/>
    <d v="2016-08-28T17:55:00"/>
    <s v="08"/>
    <s v="Business"/>
    <s v="Islamabad"/>
    <s v="Islamabad"/>
    <n v="5.3"/>
    <m/>
  </r>
  <r>
    <n v="731"/>
    <d v="2016-08-28T21:15:00"/>
    <x v="7"/>
    <d v="2016-08-28T21:59:00"/>
    <s v="08"/>
    <s v="Business"/>
    <s v="Islamabad"/>
    <s v="Unknown Location"/>
    <n v="12.1"/>
    <m/>
  </r>
  <r>
    <n v="732"/>
    <d v="2016-08-29T12:02:00"/>
    <x v="7"/>
    <d v="2016-08-29T12:31:00"/>
    <s v="08"/>
    <s v="Business"/>
    <s v="Unknown Location"/>
    <s v="Islamabad"/>
    <n v="10.8"/>
    <m/>
  </r>
  <r>
    <n v="733"/>
    <d v="2016-08-29T13:38:00"/>
    <x v="7"/>
    <d v="2016-08-29T13:48:00"/>
    <s v="08"/>
    <s v="Business"/>
    <s v="Islamabad"/>
    <s v="Islamabad"/>
    <n v="4.3"/>
    <m/>
  </r>
  <r>
    <n v="734"/>
    <d v="2016-08-29T14:31:00"/>
    <x v="7"/>
    <d v="2016-08-29T14:41:00"/>
    <s v="08"/>
    <s v="Business"/>
    <s v="Islamabad"/>
    <s v="Islamabad"/>
    <n v="2.5"/>
    <m/>
  </r>
  <r>
    <n v="735"/>
    <d v="2016-08-29T14:49:00"/>
    <x v="7"/>
    <d v="2016-08-29T15:04:00"/>
    <s v="08"/>
    <s v="Business"/>
    <s v="Islamabad"/>
    <s v="Unknown Location"/>
    <n v="5.7"/>
    <s v="Temporary Site"/>
  </r>
  <r>
    <n v="736"/>
    <d v="2016-08-29T15:49:00"/>
    <x v="7"/>
    <d v="2016-08-29T15:59:00"/>
    <s v="08"/>
    <s v="Business"/>
    <s v="Unknown Location"/>
    <s v="Islamabad"/>
    <n v="2.8"/>
    <m/>
  </r>
  <r>
    <n v="737"/>
    <d v="2016-08-29T16:06:00"/>
    <x v="7"/>
    <d v="2016-08-29T16:21:00"/>
    <s v="08"/>
    <s v="Business"/>
    <s v="Islamabad"/>
    <s v="Unknown Location"/>
    <n v="4"/>
    <m/>
  </r>
  <r>
    <n v="738"/>
    <d v="2016-08-29T17:24:00"/>
    <x v="7"/>
    <d v="2016-08-29T17:41:00"/>
    <s v="08"/>
    <s v="Business"/>
    <s v="Unknown Location"/>
    <s v="Islamabad"/>
    <n v="5.5"/>
    <m/>
  </r>
  <r>
    <n v="739"/>
    <d v="2016-08-29T18:27:00"/>
    <x v="7"/>
    <d v="2016-08-29T18:36:00"/>
    <s v="08"/>
    <s v="Business"/>
    <s v="Islamabad"/>
    <s v="Islamabad"/>
    <n v="2.6"/>
    <m/>
  </r>
  <r>
    <n v="741"/>
    <d v="2016-08-30T12:46:00"/>
    <x v="7"/>
    <d v="2016-08-30T13:09:00"/>
    <s v="08"/>
    <s v="Business"/>
    <s v="Unknown Location"/>
    <s v="Islamabad"/>
    <n v="8.8000000000000007"/>
    <m/>
  </r>
  <r>
    <n v="742"/>
    <d v="2016-08-30T13:25:00"/>
    <x v="7"/>
    <d v="2016-08-30T13:46:00"/>
    <s v="08"/>
    <s v="Business"/>
    <s v="Islamabad"/>
    <s v="Islamabad"/>
    <n v="4.4000000000000004"/>
    <m/>
  </r>
  <r>
    <n v="743"/>
    <d v="2016-08-30T14:00:00"/>
    <x v="7"/>
    <d v="2016-08-30T14:20:00"/>
    <s v="08"/>
    <s v="Business"/>
    <s v="Islamabad"/>
    <s v="Unknown Location"/>
    <n v="5.3"/>
    <m/>
  </r>
  <r>
    <n v="745"/>
    <d v="2016-09-01T11:51:00"/>
    <x v="8"/>
    <d v="2016-09-01T12:24:00"/>
    <s v="09"/>
    <s v="Business"/>
    <s v="Unknown Location"/>
    <s v="Islamabad"/>
    <n v="13"/>
    <m/>
  </r>
  <r>
    <n v="746"/>
    <d v="2016-09-01T17:21:00"/>
    <x v="8"/>
    <d v="2016-09-01T17:36:00"/>
    <s v="09"/>
    <s v="Business"/>
    <s v="Islamabad"/>
    <s v="Unknown Location"/>
    <n v="10.6"/>
    <m/>
  </r>
  <r>
    <n v="748"/>
    <d v="2016-09-02T11:37:00"/>
    <x v="8"/>
    <d v="2016-09-02T12:24:00"/>
    <s v="09"/>
    <s v="Business"/>
    <s v="Unknown Location"/>
    <s v="Islamabad"/>
    <n v="9.1999999999999993"/>
    <m/>
  </r>
  <r>
    <n v="750"/>
    <d v="2016-09-05T10:25:00"/>
    <x v="8"/>
    <d v="2016-09-05T10:44:00"/>
    <s v="09"/>
    <s v="Business"/>
    <s v="Unknown Location"/>
    <s v="R?walpindi"/>
    <n v="17.2"/>
    <m/>
  </r>
  <r>
    <n v="763"/>
    <d v="2016-09-19T06:18:00"/>
    <x v="8"/>
    <d v="2016-09-19T06:49:00"/>
    <s v="09"/>
    <s v="Business"/>
    <s v="R?walpindi"/>
    <s v="Unknown Location"/>
    <n v="18.2"/>
    <m/>
  </r>
  <r>
    <n v="764"/>
    <d v="2016-09-19T14:40:00"/>
    <x v="8"/>
    <d v="2016-09-19T14:56:00"/>
    <s v="09"/>
    <s v="Business"/>
    <s v="Unknown Location"/>
    <s v="Islamabad"/>
    <n v="10.5"/>
    <m/>
  </r>
  <r>
    <n v="765"/>
    <d v="2016-09-19T16:23:00"/>
    <x v="8"/>
    <d v="2016-09-19T16:31:00"/>
    <s v="09"/>
    <s v="Business"/>
    <s v="Islamabad"/>
    <s v="Unknown Location"/>
    <n v="5.7"/>
    <m/>
  </r>
  <r>
    <n v="767"/>
    <d v="2016-09-19T19:10:00"/>
    <x v="8"/>
    <d v="2016-09-19T19:49:00"/>
    <s v="09"/>
    <s v="Business"/>
    <s v="Unknown Location"/>
    <s v="Islamabad"/>
    <n v="18.3"/>
    <m/>
  </r>
  <r>
    <n v="768"/>
    <d v="2016-09-20T11:29:00"/>
    <x v="8"/>
    <d v="2016-09-20T11:48:00"/>
    <s v="09"/>
    <s v="Business"/>
    <s v="Islamabad"/>
    <s v="Unknown Location"/>
    <n v="16.5"/>
    <m/>
  </r>
  <r>
    <n v="769"/>
    <d v="2016-09-20T20:47:00"/>
    <x v="8"/>
    <d v="2016-09-20T22:47:00"/>
    <s v="09"/>
    <s v="Business"/>
    <s v="Unknown Location"/>
    <s v="R?walpindi"/>
    <n v="9.6"/>
    <m/>
  </r>
  <r>
    <n v="770"/>
    <d v="2016-09-23T13:15:00"/>
    <x v="8"/>
    <d v="2016-09-23T13:40:00"/>
    <s v="09"/>
    <s v="Business"/>
    <s v="Karachi"/>
    <s v="Karachi"/>
    <n v="2.9"/>
    <m/>
  </r>
  <r>
    <n v="771"/>
    <d v="2016-09-24T14:34:00"/>
    <x v="8"/>
    <d v="2016-09-24T15:15:00"/>
    <s v="09"/>
    <s v="Business"/>
    <s v="Karachi"/>
    <s v="Unknown Location"/>
    <n v="8.1999999999999993"/>
    <m/>
  </r>
  <r>
    <n v="774"/>
    <d v="2016-09-27T13:21:00"/>
    <x v="8"/>
    <d v="2016-09-27T14:43:00"/>
    <s v="09"/>
    <s v="Business"/>
    <s v="Lahore"/>
    <s v="Lahore"/>
    <n v="9.8000000000000007"/>
    <m/>
  </r>
  <r>
    <n v="775"/>
    <d v="2016-09-27T19:14:00"/>
    <x v="8"/>
    <d v="2016-09-27T20:34:00"/>
    <s v="09"/>
    <s v="Business"/>
    <s v="Lahore"/>
    <s v="Unknown Location"/>
    <n v="7.3"/>
    <m/>
  </r>
  <r>
    <n v="777"/>
    <d v="2016-09-28T17:21:00"/>
    <x v="8"/>
    <d v="2016-09-28T19:36:00"/>
    <s v="09"/>
    <s v="Business"/>
    <s v="Islamabad"/>
    <s v="Unknown Location"/>
    <n v="20.5"/>
    <m/>
  </r>
  <r>
    <n v="778"/>
    <d v="2016-09-29T16:13:00"/>
    <x v="8"/>
    <d v="2016-09-29T18:47:00"/>
    <s v="09"/>
    <s v="Business"/>
    <s v="Unknown Location"/>
    <s v="Islamabad"/>
    <n v="12.6"/>
    <m/>
  </r>
  <r>
    <n v="779"/>
    <d v="2016-09-30T17:39:00"/>
    <x v="8"/>
    <d v="2016-09-30T20:20:00"/>
    <s v="09"/>
    <s v="Business"/>
    <s v="Islamabad"/>
    <s v="Islamabad"/>
    <n v="37.700000000000003"/>
    <m/>
  </r>
  <r>
    <n v="780"/>
    <d v="2016-09-30T20:59:00"/>
    <x v="8"/>
    <d v="2016-09-30T22:34:00"/>
    <s v="09"/>
    <s v="Business"/>
    <s v="Islamabad"/>
    <s v="Unknown Location"/>
    <n v="16.7"/>
    <m/>
  </r>
  <r>
    <n v="781"/>
    <d v="2016-10-03T17:09:00"/>
    <x v="9"/>
    <d v="2016-10-03T17:12:00"/>
    <s v="10"/>
    <s v="Business"/>
    <s v="Unknown Location"/>
    <s v="Islamabad"/>
    <n v="10.5"/>
    <m/>
  </r>
  <r>
    <n v="782"/>
    <d v="2016-10-03T18:17:00"/>
    <x v="9"/>
    <d v="2016-10-03T18:34:00"/>
    <s v="10"/>
    <s v="Business"/>
    <s v="Islamabad"/>
    <s v="Islamabad"/>
    <n v="2.8"/>
    <m/>
  </r>
  <r>
    <n v="783"/>
    <d v="2016-10-03T18:51:00"/>
    <x v="9"/>
    <d v="2016-10-03T19:01:00"/>
    <s v="10"/>
    <s v="Business"/>
    <s v="Islamabad"/>
    <s v="Islamabad"/>
    <n v="1.6"/>
    <m/>
  </r>
  <r>
    <n v="784"/>
    <d v="2016-10-03T22:04:00"/>
    <x v="9"/>
    <d v="2016-10-03T22:33:00"/>
    <s v="10"/>
    <s v="Business"/>
    <s v="Islamabad"/>
    <s v="Unknown Location"/>
    <n v="12.7"/>
    <m/>
  </r>
  <r>
    <n v="787"/>
    <d v="2016-10-06T08:49:00"/>
    <x v="9"/>
    <d v="2016-10-06T11:36:00"/>
    <s v="10"/>
    <s v="Business"/>
    <s v="Unknown Location"/>
    <s v="R?walpindi"/>
    <n v="17.899999999999999"/>
    <m/>
  </r>
  <r>
    <n v="788"/>
    <d v="2016-10-06T17:23:00"/>
    <x v="9"/>
    <d v="2016-10-06T17:40:00"/>
    <s v="10"/>
    <s v="Business"/>
    <s v="R?walpindi"/>
    <s v="Unknown Location"/>
    <n v="112.6"/>
    <m/>
  </r>
  <r>
    <n v="791"/>
    <d v="2016-10-07T10:56:00"/>
    <x v="9"/>
    <d v="2016-10-07T10:59:00"/>
    <s v="10"/>
    <s v="Business"/>
    <s v="Unknown Location"/>
    <s v="Lahore"/>
    <n v="33.200000000000003"/>
    <m/>
  </r>
  <r>
    <n v="792"/>
    <d v="2016-10-07T11:27:00"/>
    <x v="9"/>
    <d v="2016-10-07T11:50:00"/>
    <s v="10"/>
    <s v="Business"/>
    <s v="Lahore"/>
    <s v="Lahore"/>
    <n v="2.6"/>
    <m/>
  </r>
  <r>
    <n v="793"/>
    <d v="2016-10-07T13:52:00"/>
    <x v="9"/>
    <d v="2016-10-07T14:08:00"/>
    <s v="10"/>
    <s v="Business"/>
    <s v="Lahore"/>
    <s v="Unknown Location"/>
    <n v="5.8"/>
    <m/>
  </r>
  <r>
    <n v="794"/>
    <d v="2016-10-07T14:29:00"/>
    <x v="9"/>
    <d v="2016-10-07T15:11:00"/>
    <s v="10"/>
    <s v="Business"/>
    <s v="Unknown Location"/>
    <s v="Lahore"/>
    <n v="8.3000000000000007"/>
    <m/>
  </r>
  <r>
    <n v="795"/>
    <d v="2016-10-07T15:47:00"/>
    <x v="9"/>
    <d v="2016-10-07T16:02:00"/>
    <s v="10"/>
    <s v="Business"/>
    <s v="Lahore"/>
    <s v="Lahore"/>
    <n v="2.4"/>
    <m/>
  </r>
  <r>
    <n v="796"/>
    <d v="2016-10-07T18:08:00"/>
    <x v="9"/>
    <d v="2016-10-07T18:27:00"/>
    <s v="10"/>
    <s v="Business"/>
    <s v="Lahore"/>
    <s v="Lahore"/>
    <n v="3.1"/>
    <m/>
  </r>
  <r>
    <n v="797"/>
    <d v="2016-10-07T18:33:00"/>
    <x v="9"/>
    <d v="2016-10-07T19:01:00"/>
    <s v="10"/>
    <s v="Business"/>
    <s v="Lahore"/>
    <s v="Lahore"/>
    <n v="6.1"/>
    <m/>
  </r>
  <r>
    <n v="798"/>
    <d v="2016-10-08T15:03:00"/>
    <x v="9"/>
    <d v="2016-10-08T15:03:00"/>
    <s v="10"/>
    <s v="Business"/>
    <s v="Karachi"/>
    <s v="Karachi"/>
    <n v="3.6"/>
    <m/>
  </r>
  <r>
    <n v="799"/>
    <d v="2016-10-08T18:15:00"/>
    <x v="9"/>
    <d v="2016-10-08T18:18:00"/>
    <s v="10"/>
    <s v="Business"/>
    <s v="Karachi"/>
    <s v="Unknown Location"/>
    <n v="8"/>
    <m/>
  </r>
  <r>
    <n v="801"/>
    <d v="2016-10-10T17:22:00"/>
    <x v="9"/>
    <d v="2016-10-10T17:28:00"/>
    <s v="10"/>
    <s v="Business"/>
    <s v="Islamabad"/>
    <s v="Islamabad"/>
    <n v="1.7"/>
    <m/>
  </r>
  <r>
    <n v="802"/>
    <d v="2016-10-10T17:33:00"/>
    <x v="9"/>
    <d v="2016-10-10T18:13:00"/>
    <s v="10"/>
    <s v="Business"/>
    <s v="Islamabad"/>
    <s v="Unknown Location"/>
    <n v="9.5"/>
    <m/>
  </r>
  <r>
    <n v="803"/>
    <d v="2016-10-11T01:27:00"/>
    <x v="9"/>
    <d v="2016-10-11T02:08:00"/>
    <s v="10"/>
    <s v="Business"/>
    <s v="Unknown Location"/>
    <s v="R?walpindi"/>
    <n v="17.100000000000001"/>
    <s v="Meeting"/>
  </r>
  <r>
    <n v="804"/>
    <d v="2016-10-12T19:18:00"/>
    <x v="9"/>
    <d v="2016-10-12T19:21:00"/>
    <s v="10"/>
    <s v="Business"/>
    <s v="R?walpindi"/>
    <s v="Unknown Location"/>
    <n v="18.399999999999999"/>
    <m/>
  </r>
  <r>
    <n v="805"/>
    <d v="2016-10-13T11:20:00"/>
    <x v="9"/>
    <d v="2016-10-13T11:58:00"/>
    <s v="10"/>
    <s v="Business"/>
    <s v="Unknown Location"/>
    <s v="Islamabad"/>
    <n v="9.8000000000000007"/>
    <m/>
  </r>
  <r>
    <n v="806"/>
    <d v="2016-10-13T12:08:00"/>
    <x v="9"/>
    <d v="2016-10-13T12:14:00"/>
    <s v="10"/>
    <s v="Business"/>
    <s v="Islamabad"/>
    <s v="Islamabad"/>
    <n v="1"/>
    <m/>
  </r>
  <r>
    <n v="807"/>
    <d v="2016-10-13T13:02:00"/>
    <x v="9"/>
    <d v="2016-10-13T13:02:00"/>
    <s v="10"/>
    <s v="Business"/>
    <s v="Islamabad"/>
    <s v="Islamabad"/>
    <n v="0.7"/>
    <m/>
  </r>
  <r>
    <n v="808"/>
    <d v="2016-10-13T13:37:00"/>
    <x v="9"/>
    <d v="2016-10-13T13:46:00"/>
    <s v="10"/>
    <s v="Business"/>
    <s v="Islamabad"/>
    <s v="Islamabad"/>
    <n v="2.2999999999999998"/>
    <m/>
  </r>
  <r>
    <n v="809"/>
    <d v="2016-10-13T16:08:00"/>
    <x v="9"/>
    <d v="2016-10-13T16:53:00"/>
    <s v="10"/>
    <s v="Business"/>
    <s v="Islamabad"/>
    <s v="Unknown Location"/>
    <n v="10.9"/>
    <m/>
  </r>
  <r>
    <n v="810"/>
    <d v="2016-10-14T08:50:00"/>
    <x v="9"/>
    <d v="2016-10-14T09:44:00"/>
    <s v="10"/>
    <s v="Business"/>
    <s v="Unknown Location"/>
    <s v="R?walpindi"/>
    <n v="12.7"/>
    <m/>
  </r>
  <r>
    <n v="811"/>
    <d v="2016-10-14T10:16:00"/>
    <x v="9"/>
    <d v="2016-10-14T10:52:00"/>
    <s v="10"/>
    <s v="Business"/>
    <s v="R?walpindi"/>
    <s v="Unknown Location"/>
    <n v="12.4"/>
    <m/>
  </r>
  <r>
    <n v="813"/>
    <d v="2016-10-14T23:54:00"/>
    <x v="9"/>
    <d v="2016-10-15T02:06:00"/>
    <s v="10"/>
    <s v="Business"/>
    <s v="Unknown Location"/>
    <s v="R?walpindi"/>
    <n v="17"/>
    <s v="Meeting"/>
  </r>
  <r>
    <n v="814"/>
    <d v="2016-10-15T22:28:00"/>
    <x v="9"/>
    <d v="2016-10-15T22:48:00"/>
    <s v="10"/>
    <s v="Business"/>
    <s v="Morrisville"/>
    <s v="Morrisville"/>
    <n v="6.2"/>
    <m/>
  </r>
  <r>
    <n v="815"/>
    <d v="2016-10-16T00:01:00"/>
    <x v="9"/>
    <d v="2016-10-16T00:14:00"/>
    <s v="10"/>
    <s v="Business"/>
    <s v="Morrisville"/>
    <s v="Cary"/>
    <n v="3.1"/>
    <m/>
  </r>
  <r>
    <n v="816"/>
    <d v="2016-10-16T12:52:00"/>
    <x v="9"/>
    <d v="2016-10-16T13:11:00"/>
    <s v="10"/>
    <s v="Business"/>
    <s v="Cary"/>
    <s v="Durham"/>
    <n v="10.5"/>
    <s v="Meeting"/>
  </r>
  <r>
    <n v="817"/>
    <d v="2016-10-16T14:40:00"/>
    <x v="9"/>
    <d v="2016-10-16T15:01:00"/>
    <s v="10"/>
    <s v="Business"/>
    <s v="Durham"/>
    <s v="Morrisville"/>
    <n v="8.1"/>
    <m/>
  </r>
  <r>
    <n v="818"/>
    <d v="2016-10-16T15:10:00"/>
    <x v="9"/>
    <d v="2016-10-16T15:19:00"/>
    <s v="10"/>
    <s v="Business"/>
    <s v="Morrisville"/>
    <s v="Cary"/>
    <n v="3.1"/>
    <m/>
  </r>
  <r>
    <n v="819"/>
    <d v="2016-10-16T19:27:00"/>
    <x v="9"/>
    <d v="2016-10-16T19:33:00"/>
    <s v="10"/>
    <s v="Business"/>
    <s v="Whitebridge"/>
    <s v="Parkway"/>
    <n v="2.1"/>
    <s v="Meeting"/>
  </r>
  <r>
    <n v="820"/>
    <d v="2016-10-16T20:30:00"/>
    <x v="9"/>
    <d v="2016-10-16T20:39:00"/>
    <s v="10"/>
    <s v="Business"/>
    <s v="Cary"/>
    <s v="Morrisville"/>
    <n v="4.3"/>
    <m/>
  </r>
  <r>
    <n v="821"/>
    <d v="2016-10-16T21:34:00"/>
    <x v="9"/>
    <d v="2016-10-16T21:41:00"/>
    <s v="10"/>
    <s v="Business"/>
    <s v="Morrisville"/>
    <s v="Cary"/>
    <n v="2.5"/>
    <s v="Meal/Entertain"/>
  </r>
  <r>
    <n v="822"/>
    <d v="2016-10-17T15:19:00"/>
    <x v="9"/>
    <d v="2016-10-17T15:57:00"/>
    <s v="10"/>
    <s v="Business"/>
    <s v="Cary"/>
    <s v="Raleigh"/>
    <n v="20.6"/>
    <m/>
  </r>
  <r>
    <n v="823"/>
    <d v="2016-10-17T16:29:00"/>
    <x v="9"/>
    <d v="2016-10-17T17:11:00"/>
    <s v="10"/>
    <s v="Business"/>
    <s v="Raleigh"/>
    <s v="Cary"/>
    <n v="17.600000000000001"/>
    <m/>
  </r>
  <r>
    <n v="824"/>
    <d v="2016-10-17T18:02:00"/>
    <x v="9"/>
    <d v="2016-10-17T18:16:00"/>
    <s v="10"/>
    <s v="Business"/>
    <s v="Cary"/>
    <s v="Apex"/>
    <n v="5.6"/>
    <m/>
  </r>
  <r>
    <n v="825"/>
    <d v="2016-10-17T18:31:00"/>
    <x v="9"/>
    <d v="2016-10-17T18:45:00"/>
    <s v="10"/>
    <s v="Business"/>
    <s v="Apex"/>
    <s v="Apex"/>
    <n v="3.3"/>
    <m/>
  </r>
  <r>
    <n v="826"/>
    <d v="2016-10-17T19:08:00"/>
    <x v="9"/>
    <d v="2016-10-17T19:25:00"/>
    <s v="10"/>
    <s v="Business"/>
    <s v="Apex"/>
    <s v="Cary"/>
    <n v="5.3"/>
    <m/>
  </r>
  <r>
    <n v="827"/>
    <d v="2016-10-18T08:12:00"/>
    <x v="9"/>
    <d v="2016-10-18T08:22:00"/>
    <s v="10"/>
    <s v="Business"/>
    <s v="Whitebridge"/>
    <s v="Edgehill Farms"/>
    <n v="3.3"/>
    <m/>
  </r>
  <r>
    <n v="828"/>
    <d v="2016-10-18T08:53:00"/>
    <x v="9"/>
    <d v="2016-10-18T09:02:00"/>
    <s v="10"/>
    <s v="Business"/>
    <s v="Edgehill Farms"/>
    <s v="Whitebridge"/>
    <n v="3.3"/>
    <m/>
  </r>
  <r>
    <n v="829"/>
    <d v="2016-10-18T10:41:00"/>
    <x v="9"/>
    <d v="2016-10-18T11:09:00"/>
    <s v="10"/>
    <s v="Business"/>
    <s v="Cary"/>
    <s v="Morrisville"/>
    <n v="7.9"/>
    <s v="Temporary Site"/>
  </r>
  <r>
    <n v="830"/>
    <d v="2016-10-18T18:12:00"/>
    <x v="9"/>
    <d v="2016-10-18T18:33:00"/>
    <s v="10"/>
    <s v="Business"/>
    <s v="Oakland"/>
    <s v="Emeryville"/>
    <n v="13"/>
    <m/>
  </r>
  <r>
    <n v="831"/>
    <d v="2016-10-18T19:03:00"/>
    <x v="9"/>
    <d v="2016-10-18T19:13:00"/>
    <s v="10"/>
    <s v="Business"/>
    <s v="Emeryville"/>
    <s v="Berkeley"/>
    <n v="3"/>
    <m/>
  </r>
  <r>
    <n v="832"/>
    <d v="2016-10-18T20:31:00"/>
    <x v="9"/>
    <d v="2016-10-18T20:37:00"/>
    <s v="10"/>
    <s v="Business"/>
    <s v="Berkeley"/>
    <s v="Emeryville"/>
    <n v="3"/>
    <m/>
  </r>
  <r>
    <n v="833"/>
    <d v="2016-10-19T09:33:00"/>
    <x v="9"/>
    <d v="2016-10-19T09:47:00"/>
    <s v="10"/>
    <s v="Business"/>
    <s v="Emeryville"/>
    <s v="Oakland"/>
    <n v="3.8"/>
    <m/>
  </r>
  <r>
    <n v="834"/>
    <d v="2016-10-19T09:54:00"/>
    <x v="9"/>
    <d v="2016-10-19T10:21:00"/>
    <s v="10"/>
    <s v="Business"/>
    <s v="Oakland"/>
    <s v="San Francisco"/>
    <n v="9.5"/>
    <m/>
  </r>
  <r>
    <n v="835"/>
    <d v="2016-10-19T13:45:00"/>
    <x v="9"/>
    <d v="2016-10-19T13:56:00"/>
    <s v="10"/>
    <s v="Business"/>
    <s v="SOMISSPO"/>
    <s v="French Quarter"/>
    <n v="1.7"/>
    <m/>
  </r>
  <r>
    <n v="836"/>
    <d v="2016-10-19T14:02:00"/>
    <x v="9"/>
    <d v="2016-10-19T14:31:00"/>
    <s v="10"/>
    <s v="Business"/>
    <s v="San Francisco"/>
    <s v="Berkeley"/>
    <n v="10.8"/>
    <m/>
  </r>
  <r>
    <n v="837"/>
    <d v="2016-10-19T15:44:00"/>
    <x v="9"/>
    <d v="2016-10-19T16:02:00"/>
    <s v="10"/>
    <s v="Business"/>
    <s v="West Berkeley"/>
    <s v="North Berkeley Hills"/>
    <n v="4.0999999999999996"/>
    <m/>
  </r>
  <r>
    <n v="838"/>
    <d v="2016-10-19T16:06:00"/>
    <x v="9"/>
    <d v="2016-10-19T16:19:00"/>
    <s v="10"/>
    <s v="Business"/>
    <s v="North Berkeley Hills"/>
    <s v="Southside"/>
    <n v="2.2000000000000002"/>
    <m/>
  </r>
  <r>
    <n v="839"/>
    <d v="2016-10-19T16:33:00"/>
    <x v="9"/>
    <d v="2016-10-19T17:01:00"/>
    <s v="10"/>
    <s v="Business"/>
    <s v="Berkeley"/>
    <s v="Emeryville"/>
    <n v="4.5999999999999996"/>
    <m/>
  </r>
  <r>
    <n v="840"/>
    <d v="2016-10-20T11:26:00"/>
    <x v="9"/>
    <d v="2016-10-20T11:34:00"/>
    <s v="10"/>
    <s v="Business"/>
    <s v="Emeryville"/>
    <s v="Berkeley"/>
    <n v="3.1"/>
    <m/>
  </r>
  <r>
    <n v="841"/>
    <d v="2016-10-20T12:19:00"/>
    <x v="9"/>
    <d v="2016-10-20T13:17:00"/>
    <s v="10"/>
    <s v="Business"/>
    <s v="Berkeley"/>
    <s v="San Jose"/>
    <n v="47.7"/>
    <m/>
  </r>
  <r>
    <n v="842"/>
    <d v="2016-10-20T20:44:00"/>
    <x v="9"/>
    <d v="2016-10-20T21:37:00"/>
    <s v="10"/>
    <s v="Business"/>
    <s v="San Jose"/>
    <s v="Emeryville"/>
    <n v="44.6"/>
    <m/>
  </r>
  <r>
    <n v="843"/>
    <d v="2016-10-21T10:06:00"/>
    <x v="9"/>
    <d v="2016-10-21T10:21:00"/>
    <s v="10"/>
    <s v="Business"/>
    <s v="Emeryville"/>
    <s v="Oakland"/>
    <n v="13.2"/>
    <m/>
  </r>
  <r>
    <n v="844"/>
    <d v="2016-10-22T00:54:00"/>
    <x v="9"/>
    <d v="2016-10-22T01:09:00"/>
    <s v="10"/>
    <s v="Business"/>
    <s v="Morrisville"/>
    <s v="Cary"/>
    <n v="8.6999999999999993"/>
    <m/>
  </r>
  <r>
    <n v="845"/>
    <d v="2016-10-22T13:26:00"/>
    <x v="9"/>
    <d v="2016-10-22T14:03:00"/>
    <s v="10"/>
    <s v="Business"/>
    <s v="Cary"/>
    <s v="Raleigh"/>
    <n v="17.2"/>
    <m/>
  </r>
  <r>
    <n v="846"/>
    <d v="2016-10-22T17:08:00"/>
    <x v="9"/>
    <d v="2016-10-22T17:55:00"/>
    <s v="10"/>
    <s v="Business"/>
    <s v="Raleigh"/>
    <s v="Cary"/>
    <n v="14"/>
    <m/>
  </r>
  <r>
    <n v="847"/>
    <d v="2016-10-23T09:24:00"/>
    <x v="9"/>
    <d v="2016-10-23T10:05:00"/>
    <s v="10"/>
    <s v="Business"/>
    <s v="Cary"/>
    <s v="Raleigh"/>
    <n v="28.1"/>
    <m/>
  </r>
  <r>
    <n v="848"/>
    <d v="2016-10-23T12:17:00"/>
    <x v="9"/>
    <d v="2016-10-23T12:59:00"/>
    <s v="10"/>
    <s v="Business"/>
    <s v="Raleigh"/>
    <s v="Cary"/>
    <n v="28.2"/>
    <m/>
  </r>
  <r>
    <n v="849"/>
    <d v="2016-10-23T19:04:00"/>
    <x v="9"/>
    <d v="2016-10-23T19:14:00"/>
    <s v="10"/>
    <s v="Business"/>
    <s v="Cary"/>
    <s v="Morrisville"/>
    <n v="3.1"/>
    <s v="Meal/Entertain"/>
  </r>
  <r>
    <n v="850"/>
    <d v="2016-10-23T21:10:00"/>
    <x v="9"/>
    <d v="2016-10-23T21:25:00"/>
    <s v="10"/>
    <s v="Business"/>
    <s v="Morrisville"/>
    <s v="Cary"/>
    <n v="3.1"/>
    <s v="Customer Visit"/>
  </r>
  <r>
    <n v="851"/>
    <d v="2016-10-24T14:57:00"/>
    <x v="9"/>
    <d v="2016-10-24T15:26:00"/>
    <s v="10"/>
    <s v="Business"/>
    <s v="Cary"/>
    <s v="Durham"/>
    <n v="16.399999999999999"/>
    <m/>
  </r>
  <r>
    <n v="852"/>
    <d v="2016-10-24T15:33:00"/>
    <x v="9"/>
    <d v="2016-10-24T16:13:00"/>
    <s v="10"/>
    <s v="Business"/>
    <s v="Durham"/>
    <s v="Morrisville"/>
    <n v="15.4"/>
    <m/>
  </r>
  <r>
    <n v="853"/>
    <d v="2016-10-24T16:34:00"/>
    <x v="9"/>
    <d v="2016-10-24T16:41:00"/>
    <s v="10"/>
    <s v="Business"/>
    <s v="Morrisville"/>
    <s v="Cary"/>
    <n v="2.2000000000000002"/>
    <m/>
  </r>
  <r>
    <n v="854"/>
    <d v="2016-10-25T13:27:00"/>
    <x v="9"/>
    <d v="2016-10-25T14:08:00"/>
    <s v="10"/>
    <s v="Business"/>
    <s v="Cary"/>
    <s v="Apex"/>
    <n v="11.2"/>
    <m/>
  </r>
  <r>
    <n v="855"/>
    <d v="2016-10-25T15:04:00"/>
    <x v="9"/>
    <d v="2016-10-25T15:11:00"/>
    <s v="10"/>
    <s v="Business"/>
    <s v="Apex"/>
    <s v="Eagle Rock"/>
    <n v="2.2000000000000002"/>
    <m/>
  </r>
  <r>
    <n v="856"/>
    <d v="2016-10-25T15:16:00"/>
    <x v="9"/>
    <d v="2016-10-25T15:33:00"/>
    <s v="10"/>
    <s v="Business"/>
    <s v="Eagle Rock"/>
    <s v="Cary"/>
    <n v="3.6"/>
    <m/>
  </r>
  <r>
    <n v="857"/>
    <d v="2016-10-25T20:00:00"/>
    <x v="9"/>
    <d v="2016-10-25T20:11:00"/>
    <s v="10"/>
    <s v="Business"/>
    <s v="Whitebridge"/>
    <s v="Savon Height"/>
    <n v="3.6"/>
    <s v="Meal/Entertain"/>
  </r>
  <r>
    <n v="858"/>
    <d v="2016-10-25T20:54:00"/>
    <x v="9"/>
    <d v="2016-10-25T21:03:00"/>
    <s v="10"/>
    <s v="Business"/>
    <s v="Savon Height"/>
    <s v="Parkway"/>
    <n v="4.9000000000000004"/>
    <m/>
  </r>
  <r>
    <n v="859"/>
    <d v="2016-10-25T22:24:00"/>
    <x v="9"/>
    <d v="2016-10-25T22:45:00"/>
    <s v="10"/>
    <s v="Business"/>
    <s v="Parkway"/>
    <s v="Whitebridge"/>
    <n v="8.6999999999999993"/>
    <s v="Errand/Supplies"/>
  </r>
  <r>
    <n v="860"/>
    <d v="2016-10-26T19:25:00"/>
    <x v="9"/>
    <d v="2016-10-26T19:31:00"/>
    <s v="10"/>
    <s v="Business"/>
    <s v="Whitebridge"/>
    <s v="Parkway"/>
    <n v="2.1"/>
    <s v="Meeting"/>
  </r>
  <r>
    <n v="861"/>
    <d v="2016-10-26T20:53:00"/>
    <x v="9"/>
    <d v="2016-10-26T21:03:00"/>
    <s v="10"/>
    <s v="Business"/>
    <s v="Parkway"/>
    <s v="Whitebridge"/>
    <n v="2.1"/>
    <m/>
  </r>
  <r>
    <n v="862"/>
    <d v="2016-10-27T18:51:00"/>
    <x v="9"/>
    <d v="2016-10-27T19:16:00"/>
    <s v="10"/>
    <s v="Business"/>
    <s v="Cary"/>
    <s v="Morrisville"/>
    <n v="8.4"/>
    <s v="Meeting"/>
  </r>
  <r>
    <n v="863"/>
    <d v="2016-10-27T19:20:00"/>
    <x v="9"/>
    <d v="2016-10-27T19:35:00"/>
    <s v="10"/>
    <s v="Business"/>
    <s v="Morrisville"/>
    <s v="Morrisville"/>
    <n v="5.9"/>
    <m/>
  </r>
  <r>
    <n v="864"/>
    <d v="2016-10-27T19:52:00"/>
    <x v="9"/>
    <d v="2016-10-27T20:21:00"/>
    <s v="10"/>
    <s v="Business"/>
    <s v="Huntington Woods"/>
    <s v="Huntington Woods"/>
    <n v="12.1"/>
    <m/>
  </r>
  <r>
    <n v="865"/>
    <d v="2016-10-27T20:47:00"/>
    <x v="9"/>
    <d v="2016-10-27T20:54:00"/>
    <s v="10"/>
    <s v="Business"/>
    <s v="Huntington Woods"/>
    <s v="Weston"/>
    <n v="3.9"/>
    <m/>
  </r>
  <r>
    <n v="866"/>
    <d v="2016-10-27T21:26:00"/>
    <x v="9"/>
    <d v="2016-10-27T21:48:00"/>
    <s v="10"/>
    <s v="Business"/>
    <s v="Morrisville"/>
    <s v="Cary"/>
    <n v="6.2"/>
    <m/>
  </r>
  <r>
    <n v="867"/>
    <d v="2016-10-28T11:34:00"/>
    <x v="9"/>
    <d v="2016-10-28T11:52:00"/>
    <s v="10"/>
    <s v="Business"/>
    <s v="Cary"/>
    <s v="Durham"/>
    <n v="10.4"/>
    <s v="Meeting"/>
  </r>
  <r>
    <n v="868"/>
    <d v="2016-10-28T13:06:00"/>
    <x v="9"/>
    <d v="2016-10-28T13:36:00"/>
    <s v="10"/>
    <s v="Business"/>
    <s v="Durham"/>
    <s v="Cary"/>
    <n v="9.9"/>
    <s v="Meeting"/>
  </r>
  <r>
    <n v="869"/>
    <d v="2016-10-28T15:53:00"/>
    <x v="9"/>
    <d v="2016-10-28T17:59:00"/>
    <s v="10"/>
    <s v="Business"/>
    <s v="Cary"/>
    <s v="Winston Salem"/>
    <n v="107"/>
    <s v="Meeting"/>
  </r>
  <r>
    <n v="870"/>
    <d v="2016-10-28T18:13:00"/>
    <x v="9"/>
    <d v="2016-10-28T20:07:00"/>
    <s v="10"/>
    <s v="Business"/>
    <s v="Winston Salem"/>
    <s v="Asheville"/>
    <n v="133.6"/>
    <s v="Meeting"/>
  </r>
  <r>
    <n v="871"/>
    <d v="2016-10-28T20:13:00"/>
    <x v="9"/>
    <d v="2016-10-28T22:00:00"/>
    <s v="10"/>
    <s v="Business"/>
    <s v="Asheville"/>
    <s v="Topton"/>
    <n v="91.8"/>
    <s v="Meeting"/>
  </r>
  <r>
    <n v="872"/>
    <d v="2016-10-29T15:22:00"/>
    <x v="9"/>
    <d v="2016-10-29T17:05:00"/>
    <s v="10"/>
    <s v="Business"/>
    <s v="Topton"/>
    <s v="Hayesville"/>
    <n v="40.700000000000003"/>
    <s v="Meeting"/>
  </r>
  <r>
    <n v="873"/>
    <d v="2016-10-29T17:13:00"/>
    <x v="9"/>
    <d v="2016-10-29T19:19:00"/>
    <s v="10"/>
    <s v="Business"/>
    <s v="Hayesville"/>
    <s v="Topton"/>
    <n v="75.7"/>
    <m/>
  </r>
  <r>
    <n v="874"/>
    <d v="2016-10-30T07:49:00"/>
    <x v="9"/>
    <d v="2016-10-30T08:30:00"/>
    <s v="10"/>
    <s v="Business"/>
    <s v="Topton"/>
    <s v="Bryson City"/>
    <n v="29.8"/>
    <m/>
  </r>
  <r>
    <n v="875"/>
    <d v="2016-10-30T09:07:00"/>
    <x v="9"/>
    <d v="2016-10-30T10:09:00"/>
    <s v="10"/>
    <s v="Business"/>
    <s v="Bryson City"/>
    <s v="Bryson City"/>
    <n v="16.3"/>
    <m/>
  </r>
  <r>
    <n v="876"/>
    <d v="2016-10-30T10:11:00"/>
    <x v="9"/>
    <d v="2016-10-30T10:38:00"/>
    <s v="10"/>
    <s v="Business"/>
    <s v="Bryson City"/>
    <s v="Bryson City"/>
    <n v="6.5"/>
    <m/>
  </r>
  <r>
    <n v="877"/>
    <d v="2016-10-30T10:51:00"/>
    <x v="9"/>
    <d v="2016-10-30T11:21:00"/>
    <s v="10"/>
    <s v="Business"/>
    <s v="Bryson City"/>
    <s v="Bryson City"/>
    <n v="6.3"/>
    <m/>
  </r>
  <r>
    <n v="878"/>
    <d v="2016-10-30T12:24:00"/>
    <x v="9"/>
    <d v="2016-10-30T12:35:00"/>
    <s v="10"/>
    <s v="Business"/>
    <s v="Bryson City"/>
    <s v="Almond"/>
    <n v="6.6"/>
    <m/>
  </r>
  <r>
    <n v="879"/>
    <d v="2016-10-30T12:58:00"/>
    <x v="9"/>
    <d v="2016-10-30T13:18:00"/>
    <s v="10"/>
    <s v="Business"/>
    <s v="Almond"/>
    <s v="Bryson City"/>
    <n v="15.2"/>
    <m/>
  </r>
  <r>
    <n v="880"/>
    <d v="2016-10-30T13:24:00"/>
    <x v="9"/>
    <d v="2016-10-30T14:37:00"/>
    <s v="10"/>
    <s v="Business"/>
    <s v="Bryson City"/>
    <s v="Asheville"/>
    <n v="68.400000000000006"/>
    <m/>
  </r>
  <r>
    <n v="881"/>
    <d v="2016-10-30T15:22:00"/>
    <x v="9"/>
    <d v="2016-10-30T18:23:00"/>
    <s v="10"/>
    <s v="Business"/>
    <s v="Asheville"/>
    <s v="Mebane"/>
    <n v="195.9"/>
    <m/>
  </r>
  <r>
    <n v="882"/>
    <d v="2016-10-30T18:26:00"/>
    <x v="9"/>
    <d v="2016-10-30T19:39:00"/>
    <s v="10"/>
    <s v="Business"/>
    <s v="Mebane"/>
    <s v="Cary"/>
    <n v="45.2"/>
    <m/>
  </r>
  <r>
    <n v="883"/>
    <d v="2016-10-31T18:11:00"/>
    <x v="9"/>
    <d v="2016-10-31T18:20:00"/>
    <s v="10"/>
    <s v="Business"/>
    <s v="Cary"/>
    <s v="Morrisville"/>
    <n v="3.2"/>
    <m/>
  </r>
  <r>
    <n v="884"/>
    <d v="2016-10-31T18:47:00"/>
    <x v="9"/>
    <d v="2016-10-31T19:16:00"/>
    <s v="10"/>
    <s v="Business"/>
    <s v="Morrisville"/>
    <s v="Raleigh"/>
    <n v="10.3"/>
    <m/>
  </r>
  <r>
    <n v="885"/>
    <d v="2016-10-31T20:18:00"/>
    <x v="9"/>
    <d v="2016-10-31T20:44:00"/>
    <s v="10"/>
    <s v="Business"/>
    <s v="Raleigh"/>
    <s v="Cary"/>
    <n v="13.1"/>
    <m/>
  </r>
  <r>
    <n v="886"/>
    <d v="2016-10-31T21:45:00"/>
    <x v="9"/>
    <d v="2016-10-31T22:10:00"/>
    <s v="10"/>
    <s v="Business"/>
    <s v="Savon Height"/>
    <s v="Whitebridge"/>
    <n v="9.6"/>
    <s v="Errand/Supplies"/>
  </r>
  <r>
    <n v="887"/>
    <d v="2016-11-01T11:50:00"/>
    <x v="10"/>
    <d v="2016-11-01T12:27:00"/>
    <s v="11"/>
    <s v="Business"/>
    <s v="Cary"/>
    <s v="Durham"/>
    <n v="16.5"/>
    <m/>
  </r>
  <r>
    <n v="888"/>
    <d v="2016-11-01T16:29:00"/>
    <x v="10"/>
    <d v="2016-11-01T17:02:00"/>
    <s v="11"/>
    <s v="Business"/>
    <s v="Durham"/>
    <s v="Cary"/>
    <n v="12.8"/>
    <m/>
  </r>
  <r>
    <n v="889"/>
    <d v="2016-11-01T17:35:00"/>
    <x v="10"/>
    <d v="2016-11-01T17:42:00"/>
    <s v="11"/>
    <s v="Business"/>
    <s v="Whitebridge"/>
    <s v="Whitebridge"/>
    <n v="1.2"/>
    <m/>
  </r>
  <r>
    <n v="890"/>
    <d v="2016-11-01T19:14:00"/>
    <x v="10"/>
    <d v="2016-11-01T19:20:00"/>
    <s v="11"/>
    <s v="Business"/>
    <s v="Whitebridge"/>
    <s v="Whitebridge"/>
    <n v="1"/>
    <m/>
  </r>
  <r>
    <n v="891"/>
    <d v="2016-11-01T19:59:00"/>
    <x v="10"/>
    <d v="2016-11-01T20:12:00"/>
    <s v="11"/>
    <s v="Business"/>
    <s v="Whitebridge"/>
    <s v="Whitebridge"/>
    <n v="4.0999999999999996"/>
    <m/>
  </r>
  <r>
    <n v="892"/>
    <d v="2016-11-01T20:41:00"/>
    <x v="10"/>
    <d v="2016-11-01T20:55:00"/>
    <s v="11"/>
    <s v="Business"/>
    <s v="Whitebridge"/>
    <s v="Whitebridge"/>
    <n v="4.2"/>
    <s v="Meal/Entertain"/>
  </r>
  <r>
    <n v="893"/>
    <d v="2016-11-02T15:10:00"/>
    <x v="10"/>
    <d v="2016-11-02T15:18:00"/>
    <s v="11"/>
    <s v="Business"/>
    <s v="Whitebridge"/>
    <s v="Westpark Place"/>
    <n v="1.4"/>
    <m/>
  </r>
  <r>
    <n v="894"/>
    <d v="2016-11-02T15:45:00"/>
    <x v="10"/>
    <d v="2016-11-02T15:52:00"/>
    <s v="11"/>
    <s v="Business"/>
    <s v="Westpark Place"/>
    <s v="Whitebridge"/>
    <n v="1.8"/>
    <m/>
  </r>
  <r>
    <n v="895"/>
    <d v="2016-11-02T16:46:00"/>
    <x v="10"/>
    <d v="2016-11-02T17:11:00"/>
    <s v="11"/>
    <s v="Business"/>
    <s v="Cary"/>
    <s v="Morrisville"/>
    <n v="8.5"/>
    <s v="Meeting"/>
  </r>
  <r>
    <n v="896"/>
    <d v="2016-11-02T17:34:00"/>
    <x v="10"/>
    <d v="2016-11-02T17:49:00"/>
    <s v="11"/>
    <s v="Business"/>
    <s v="Morrisville"/>
    <s v="Morrisville"/>
    <n v="5"/>
    <m/>
  </r>
  <r>
    <n v="897"/>
    <d v="2016-11-02T17:53:00"/>
    <x v="10"/>
    <d v="2016-11-02T18:00:00"/>
    <s v="11"/>
    <s v="Business"/>
    <s v="Morrisville"/>
    <s v="Cary"/>
    <n v="3.8"/>
    <m/>
  </r>
  <r>
    <n v="898"/>
    <d v="2016-11-03T11:28:00"/>
    <x v="10"/>
    <d v="2016-11-03T11:34:00"/>
    <s v="11"/>
    <s v="Business"/>
    <s v="Whitebridge"/>
    <s v="Hazelwood"/>
    <n v="2.5"/>
    <m/>
  </r>
  <r>
    <n v="899"/>
    <d v="2016-11-03T12:43:00"/>
    <x v="10"/>
    <d v="2016-11-03T12:49:00"/>
    <s v="11"/>
    <s v="Business"/>
    <s v="Hazelwood"/>
    <s v="Whitebridge"/>
    <n v="2.4"/>
    <m/>
  </r>
  <r>
    <n v="900"/>
    <d v="2016-11-03T13:42:00"/>
    <x v="10"/>
    <d v="2016-11-03T13:47:00"/>
    <s v="11"/>
    <s v="Business"/>
    <s v="Whitebridge"/>
    <s v="Westpark Place"/>
    <n v="1.4"/>
    <m/>
  </r>
  <r>
    <n v="901"/>
    <d v="2016-11-03T14:13:00"/>
    <x v="10"/>
    <d v="2016-11-03T14:26:00"/>
    <s v="11"/>
    <s v="Business"/>
    <s v="Westpark Place"/>
    <s v="Whitebridge"/>
    <n v="1.8"/>
    <m/>
  </r>
  <r>
    <n v="902"/>
    <d v="2016-11-03T18:51:00"/>
    <x v="10"/>
    <d v="2016-11-03T19:08:00"/>
    <s v="11"/>
    <s v="Business"/>
    <s v="Cary"/>
    <s v="Morrisville"/>
    <n v="3.1"/>
    <s v="Meal/Entertain"/>
  </r>
  <r>
    <n v="903"/>
    <d v="2016-11-03T22:46:00"/>
    <x v="10"/>
    <d v="2016-11-03T22:58:00"/>
    <s v="11"/>
    <s v="Business"/>
    <s v="Morrisville"/>
    <s v="Cary"/>
    <n v="3.1"/>
    <s v="Customer Visit"/>
  </r>
  <r>
    <n v="904"/>
    <d v="2016-11-04T10:02:00"/>
    <x v="10"/>
    <d v="2016-11-04T10:18:00"/>
    <s v="11"/>
    <s v="Business"/>
    <s v="Cary"/>
    <s v="Morrisville"/>
    <n v="7.9"/>
    <s v="Temporary Site"/>
  </r>
  <r>
    <n v="905"/>
    <d v="2016-11-04T18:14:00"/>
    <x v="10"/>
    <d v="2016-11-04T18:21:00"/>
    <s v="11"/>
    <s v="Business"/>
    <s v="San Jose"/>
    <s v="Santa Clara"/>
    <n v="3.8"/>
    <m/>
  </r>
  <r>
    <n v="906"/>
    <d v="2016-11-04T21:04:00"/>
    <x v="10"/>
    <d v="2016-11-04T21:20:00"/>
    <s v="11"/>
    <s v="Business"/>
    <s v="Agnew"/>
    <s v="Cory"/>
    <n v="4.3"/>
    <m/>
  </r>
  <r>
    <n v="907"/>
    <d v="2016-11-04T22:12:00"/>
    <x v="10"/>
    <d v="2016-11-04T22:25:00"/>
    <s v="11"/>
    <s v="Business"/>
    <s v="Cory"/>
    <s v="Agnew"/>
    <n v="3.9"/>
    <m/>
  </r>
  <r>
    <n v="908"/>
    <d v="2016-11-05T08:34:00"/>
    <x v="10"/>
    <d v="2016-11-05T08:43:00"/>
    <s v="11"/>
    <s v="Business"/>
    <s v="Agnew"/>
    <s v="Renaissance"/>
    <n v="2.2000000000000002"/>
    <m/>
  </r>
  <r>
    <n v="909"/>
    <d v="2016-11-05T17:29:00"/>
    <x v="10"/>
    <d v="2016-11-05T17:40:00"/>
    <s v="11"/>
    <s v="Business"/>
    <s v="Renaissance"/>
    <s v="Agnew"/>
    <n v="2.8"/>
    <m/>
  </r>
  <r>
    <n v="910"/>
    <d v="2016-11-05T19:20:00"/>
    <x v="10"/>
    <d v="2016-11-05T19:28:00"/>
    <s v="11"/>
    <s v="Business"/>
    <s v="Agnew"/>
    <s v="Agnew"/>
    <n v="2.2000000000000002"/>
    <m/>
  </r>
  <r>
    <n v="911"/>
    <d v="2016-11-06T10:50:00"/>
    <x v="10"/>
    <d v="2016-11-06T11:04:00"/>
    <s v="11"/>
    <s v="Business"/>
    <s v="Agnew"/>
    <s v="Renaissance"/>
    <n v="2.4"/>
    <m/>
  </r>
  <r>
    <n v="912"/>
    <d v="2016-11-06T16:05:00"/>
    <x v="10"/>
    <d v="2016-11-06T16:22:00"/>
    <s v="11"/>
    <s v="Business"/>
    <s v="Renaissance"/>
    <s v="Agnew"/>
    <n v="2.8"/>
    <s v="Meeting"/>
  </r>
  <r>
    <n v="913"/>
    <d v="2016-11-06T16:27:00"/>
    <x v="10"/>
    <d v="2016-11-06T17:28:00"/>
    <s v="11"/>
    <s v="Business"/>
    <s v="Santa Clara"/>
    <s v="Berkeley"/>
    <n v="43.9"/>
    <s v="Customer Visit"/>
  </r>
  <r>
    <n v="914"/>
    <d v="2016-11-06T19:04:00"/>
    <x v="10"/>
    <d v="2016-11-06T19:12:00"/>
    <s v="11"/>
    <s v="Business"/>
    <s v="Downtown"/>
    <s v="West Berkeley"/>
    <n v="1.8"/>
    <m/>
  </r>
  <r>
    <n v="915"/>
    <d v="2016-11-06T20:06:00"/>
    <x v="10"/>
    <d v="2016-11-06T20:21:00"/>
    <s v="11"/>
    <s v="Business"/>
    <s v="West Berkeley"/>
    <s v="Central"/>
    <n v="3.3"/>
    <m/>
  </r>
  <r>
    <n v="916"/>
    <d v="2016-11-07T12:28:00"/>
    <x v="10"/>
    <d v="2016-11-07T12:57:00"/>
    <s v="11"/>
    <s v="Business"/>
    <s v="Berkeley"/>
    <s v="San Francisco"/>
    <n v="11.8"/>
    <s v="Between Offices"/>
  </r>
  <r>
    <n v="917"/>
    <d v="2016-11-07T19:17:00"/>
    <x v="10"/>
    <d v="2016-11-07T19:57:00"/>
    <s v="11"/>
    <s v="Business"/>
    <s v="San Francisco"/>
    <s v="Berkeley"/>
    <n v="13.2"/>
    <s v="Between Offices"/>
  </r>
  <r>
    <n v="918"/>
    <d v="2016-11-08T10:29:00"/>
    <x v="10"/>
    <d v="2016-11-08T10:57:00"/>
    <s v="11"/>
    <s v="Business"/>
    <s v="Berkeley"/>
    <s v="San Francisco"/>
    <n v="12.2"/>
    <s v="Between Offices"/>
  </r>
  <r>
    <n v="919"/>
    <d v="2016-11-08T12:16:00"/>
    <x v="10"/>
    <d v="2016-11-08T12:49:00"/>
    <s v="11"/>
    <s v="Business"/>
    <s v="San Francisco"/>
    <s v="Berkeley"/>
    <n v="11.3"/>
    <s v="Meeting"/>
  </r>
  <r>
    <n v="920"/>
    <d v="2016-11-08T13:41:00"/>
    <x v="10"/>
    <d v="2016-11-08T14:01:00"/>
    <s v="11"/>
    <s v="Business"/>
    <s v="Berkeley"/>
    <s v="Emeryville"/>
    <n v="3.6"/>
    <m/>
  </r>
  <r>
    <n v="921"/>
    <d v="2016-11-08T16:21:00"/>
    <x v="10"/>
    <d v="2016-11-08T16:34:00"/>
    <s v="11"/>
    <s v="Business"/>
    <s v="Emeryville"/>
    <s v="Berkeley"/>
    <n v="3"/>
    <m/>
  </r>
  <r>
    <n v="922"/>
    <d v="2016-11-09T13:08:00"/>
    <x v="10"/>
    <d v="2016-11-09T13:41:00"/>
    <s v="11"/>
    <s v="Business"/>
    <s v="Berkeley"/>
    <s v="San Francisco"/>
    <n v="11.4"/>
    <m/>
  </r>
  <r>
    <n v="923"/>
    <d v="2016-11-09T15:58:00"/>
    <x v="10"/>
    <d v="2016-11-09T16:04:00"/>
    <s v="11"/>
    <s v="Business"/>
    <s v="NOMA"/>
    <s v="Downtown"/>
    <n v="0.9"/>
    <m/>
  </r>
  <r>
    <n v="924"/>
    <d v="2016-11-09T17:31:00"/>
    <x v="10"/>
    <d v="2016-11-09T18:03:00"/>
    <s v="11"/>
    <s v="Business"/>
    <s v="Downtown"/>
    <s v="Sunnyside"/>
    <n v="6.2"/>
    <m/>
  </r>
  <r>
    <n v="925"/>
    <d v="2016-11-09T18:09:00"/>
    <x v="10"/>
    <d v="2016-11-09T18:14:00"/>
    <s v="11"/>
    <s v="Business"/>
    <s v="Sunnyside"/>
    <s v="Ingleside"/>
    <n v="0.7"/>
    <m/>
  </r>
  <r>
    <n v="926"/>
    <d v="2016-11-09T18:21:00"/>
    <x v="10"/>
    <d v="2016-11-09T18:35:00"/>
    <s v="11"/>
    <s v="Business"/>
    <s v="Ingleside"/>
    <s v="Potrero Flats"/>
    <n v="5.5"/>
    <s v="Meeting"/>
  </r>
  <r>
    <n v="927"/>
    <d v="2016-11-09T18:40:00"/>
    <x v="10"/>
    <d v="2016-11-09T19:17:00"/>
    <s v="11"/>
    <s v="Business"/>
    <s v="San Francisco"/>
    <s v="Oakland"/>
    <n v="12.7"/>
    <s v="Customer Visit"/>
  </r>
  <r>
    <n v="928"/>
    <d v="2016-11-09T20:52:00"/>
    <x v="10"/>
    <d v="2016-11-09T21:02:00"/>
    <s v="11"/>
    <s v="Business"/>
    <s v="Oakland"/>
    <s v="Berkeley"/>
    <n v="2.6"/>
    <m/>
  </r>
  <r>
    <n v="929"/>
    <d v="2016-11-09T21:56:00"/>
    <x v="10"/>
    <d v="2016-11-09T22:02:00"/>
    <s v="11"/>
    <s v="Business"/>
    <s v="Central"/>
    <s v="Central"/>
    <n v="1.1000000000000001"/>
    <m/>
  </r>
  <r>
    <n v="930"/>
    <d v="2016-11-10T09:46:00"/>
    <x v="10"/>
    <d v="2016-11-10T10:15:00"/>
    <s v="11"/>
    <s v="Business"/>
    <s v="Berkeley"/>
    <s v="San Francisco"/>
    <n v="12.6"/>
    <s v="Temporary Site"/>
  </r>
  <r>
    <n v="931"/>
    <d v="2016-11-10T10:20:00"/>
    <x v="10"/>
    <d v="2016-11-10T10:31:00"/>
    <s v="11"/>
    <s v="Business"/>
    <s v="Tenderloin"/>
    <s v="SOMISSPO"/>
    <n v="1.2"/>
    <m/>
  </r>
  <r>
    <n v="932"/>
    <d v="2016-11-10T14:57:00"/>
    <x v="10"/>
    <d v="2016-11-10T15:07:00"/>
    <s v="11"/>
    <s v="Business"/>
    <s v="SOMISSPO"/>
    <s v="Tenderloin"/>
    <n v="1.1000000000000001"/>
    <m/>
  </r>
  <r>
    <n v="933"/>
    <d v="2016-11-10T15:17:00"/>
    <x v="10"/>
    <d v="2016-11-10T15:22:00"/>
    <s v="11"/>
    <s v="Business"/>
    <s v="San Francisco"/>
    <s v="Oakland"/>
    <n v="9.9"/>
    <s v="Temporary Site"/>
  </r>
  <r>
    <n v="934"/>
    <d v="2016-11-10T15:30:00"/>
    <x v="10"/>
    <d v="2016-11-10T15:53:00"/>
    <s v="11"/>
    <s v="Business"/>
    <s v="Oakland"/>
    <s v="Berkeley"/>
    <n v="6"/>
    <s v="Meeting"/>
  </r>
  <r>
    <n v="935"/>
    <d v="2016-11-10T19:18:00"/>
    <x v="10"/>
    <d v="2016-11-10T19:21:00"/>
    <s v="11"/>
    <s v="Business"/>
    <s v="West Berkeley"/>
    <s v="Central"/>
    <n v="0.8"/>
    <m/>
  </r>
  <r>
    <n v="936"/>
    <d v="2016-11-11T09:35:00"/>
    <x v="10"/>
    <d v="2016-11-11T10:23:00"/>
    <s v="11"/>
    <s v="Business"/>
    <s v="Berkeley"/>
    <s v="Menlo Park"/>
    <n v="45.9"/>
    <s v="Customer Visit"/>
  </r>
  <r>
    <n v="937"/>
    <d v="2016-11-11T12:58:00"/>
    <x v="10"/>
    <d v="2016-11-11T13:13:00"/>
    <s v="11"/>
    <s v="Business"/>
    <s v="Menlo Park"/>
    <s v="Palo Alto"/>
    <n v="4"/>
    <m/>
  </r>
  <r>
    <n v="938"/>
    <d v="2016-11-11T14:20:00"/>
    <x v="10"/>
    <d v="2016-11-11T14:32:00"/>
    <s v="11"/>
    <s v="Business"/>
    <s v="Palo Alto"/>
    <s v="Menlo Park"/>
    <n v="2.5"/>
    <m/>
  </r>
  <r>
    <n v="939"/>
    <d v="2016-11-11T14:39:00"/>
    <x v="10"/>
    <d v="2016-11-11T15:46:00"/>
    <s v="11"/>
    <s v="Business"/>
    <s v="Menlo Park"/>
    <s v="Berkeley"/>
    <n v="36.6"/>
    <s v="Customer Visit"/>
  </r>
  <r>
    <n v="940"/>
    <d v="2016-11-11T18:30:00"/>
    <x v="10"/>
    <d v="2016-11-11T18:43:00"/>
    <s v="11"/>
    <s v="Business"/>
    <s v="Central"/>
    <s v="College Avenue"/>
    <n v="2.9"/>
    <m/>
  </r>
  <r>
    <n v="941"/>
    <d v="2016-11-11T21:08:00"/>
    <x v="10"/>
    <d v="2016-11-11T21:18:00"/>
    <s v="11"/>
    <s v="Business"/>
    <s v="College Avenue"/>
    <s v="Central"/>
    <n v="2.6"/>
    <m/>
  </r>
  <r>
    <n v="942"/>
    <d v="2016-11-12T10:32:00"/>
    <x v="10"/>
    <d v="2016-11-12T10:52:00"/>
    <s v="11"/>
    <s v="Business"/>
    <s v="Central"/>
    <s v="South"/>
    <n v="2.2999999999999998"/>
    <m/>
  </r>
  <r>
    <n v="943"/>
    <d v="2016-11-12T10:55:00"/>
    <x v="10"/>
    <d v="2016-11-12T11:25:00"/>
    <s v="11"/>
    <s v="Business"/>
    <s v="South"/>
    <s v="Downtown"/>
    <n v="6.4"/>
    <m/>
  </r>
  <r>
    <n v="944"/>
    <d v="2016-11-12T13:07:00"/>
    <x v="10"/>
    <d v="2016-11-12T13:15:00"/>
    <s v="11"/>
    <s v="Business"/>
    <s v="Downtown"/>
    <s v="Central"/>
    <n v="1.4"/>
    <m/>
  </r>
  <r>
    <n v="945"/>
    <d v="2016-11-12T13:46:00"/>
    <x v="10"/>
    <d v="2016-11-12T13:50:00"/>
    <s v="11"/>
    <s v="Business"/>
    <s v="Central"/>
    <s v="West Berkeley"/>
    <n v="0.6"/>
    <m/>
  </r>
  <r>
    <n v="946"/>
    <d v="2016-11-12T14:22:00"/>
    <x v="10"/>
    <d v="2016-11-12T14:53:00"/>
    <s v="11"/>
    <s v="Business"/>
    <s v="West Berkeley"/>
    <s v="South"/>
    <n v="5.9"/>
    <s v="Meeting"/>
  </r>
  <r>
    <n v="947"/>
    <d v="2016-11-12T15:14:00"/>
    <x v="10"/>
    <d v="2016-11-12T15:21:00"/>
    <s v="11"/>
    <s v="Business"/>
    <s v="South"/>
    <s v="Southwest Berkeley"/>
    <n v="0.8"/>
    <m/>
  </r>
  <r>
    <n v="948"/>
    <d v="2016-11-12T15:25:00"/>
    <x v="10"/>
    <d v="2016-11-12T15:36:00"/>
    <s v="11"/>
    <s v="Business"/>
    <s v="Berkeley"/>
    <s v="Emeryville"/>
    <n v="1.3"/>
    <m/>
  </r>
  <r>
    <n v="949"/>
    <d v="2016-11-12T15:40:00"/>
    <x v="10"/>
    <d v="2016-11-12T15:59:00"/>
    <s v="11"/>
    <s v="Business"/>
    <s v="Emeryville"/>
    <s v="Berkeley"/>
    <n v="3.7"/>
    <s v="Errand/Supplies"/>
  </r>
  <r>
    <n v="950"/>
    <d v="2016-11-13T08:54:00"/>
    <x v="10"/>
    <d v="2016-11-13T09:02:00"/>
    <s v="11"/>
    <s v="Business"/>
    <s v="Central"/>
    <s v="Central"/>
    <n v="2.2999999999999998"/>
    <m/>
  </r>
  <r>
    <n v="951"/>
    <d v="2016-11-13T09:27:00"/>
    <x v="10"/>
    <d v="2016-11-13T09:53:00"/>
    <s v="11"/>
    <s v="Business"/>
    <s v="Central"/>
    <s v="Central"/>
    <n v="2.6"/>
    <m/>
  </r>
  <r>
    <n v="952"/>
    <d v="2016-11-13T10:31:00"/>
    <x v="10"/>
    <d v="2016-11-13T10:37:00"/>
    <s v="11"/>
    <s v="Business"/>
    <s v="Central"/>
    <s v="Southside"/>
    <n v="1.9"/>
    <m/>
  </r>
  <r>
    <n v="953"/>
    <d v="2016-11-13T11:04:00"/>
    <x v="10"/>
    <d v="2016-11-13T11:16:00"/>
    <s v="11"/>
    <s v="Business"/>
    <s v="Southside"/>
    <s v="West Berkeley"/>
    <n v="2.1"/>
    <m/>
  </r>
  <r>
    <n v="954"/>
    <d v="2016-11-13T12:22:00"/>
    <x v="10"/>
    <d v="2016-11-13T12:51:00"/>
    <s v="11"/>
    <s v="Business"/>
    <s v="West Berkeley"/>
    <s v="Southside"/>
    <n v="4"/>
    <s v="Meeting"/>
  </r>
  <r>
    <n v="955"/>
    <d v="2016-11-13T13:05:00"/>
    <x v="10"/>
    <d v="2016-11-13T13:11:00"/>
    <s v="11"/>
    <s v="Business"/>
    <s v="Southside"/>
    <s v="South Berkeley"/>
    <n v="0.9"/>
    <m/>
  </r>
  <r>
    <n v="956"/>
    <d v="2016-11-13T13:14:00"/>
    <x v="10"/>
    <d v="2016-11-13T13:18:00"/>
    <s v="11"/>
    <s v="Business"/>
    <s v="South Berkeley"/>
    <s v="Southside"/>
    <n v="0.9"/>
    <m/>
  </r>
  <r>
    <n v="957"/>
    <d v="2016-11-13T14:35:00"/>
    <x v="10"/>
    <d v="2016-11-13T14:46:00"/>
    <s v="11"/>
    <s v="Business"/>
    <s v="Southside"/>
    <s v="Central"/>
    <n v="2.4"/>
    <m/>
  </r>
  <r>
    <n v="958"/>
    <d v="2016-11-13T15:14:00"/>
    <x v="10"/>
    <d v="2016-11-13T15:24:00"/>
    <s v="11"/>
    <s v="Business"/>
    <s v="Central"/>
    <s v="Southside"/>
    <n v="1.9"/>
    <m/>
  </r>
  <r>
    <n v="959"/>
    <d v="2016-11-13T15:47:00"/>
    <x v="10"/>
    <d v="2016-11-13T15:59:00"/>
    <s v="11"/>
    <s v="Business"/>
    <s v="Southside"/>
    <s v="Central"/>
    <n v="1.9"/>
    <m/>
  </r>
  <r>
    <n v="960"/>
    <d v="2016-11-14T11:24:00"/>
    <x v="10"/>
    <d v="2016-11-14T12:13:00"/>
    <s v="11"/>
    <s v="Business"/>
    <s v="Berkeley"/>
    <s v="Mountain View"/>
    <n v="44.6"/>
    <s v="Customer Visit"/>
  </r>
  <r>
    <n v="961"/>
    <d v="2016-11-14T13:40:00"/>
    <x v="10"/>
    <d v="2016-11-14T14:33:00"/>
    <s v="11"/>
    <s v="Business"/>
    <s v="Mountain View"/>
    <s v="Berkeley"/>
    <n v="43.6"/>
    <s v="Customer Visit"/>
  </r>
  <r>
    <n v="962"/>
    <d v="2016-11-14T15:27:00"/>
    <x v="10"/>
    <d v="2016-11-14T15:36:00"/>
    <s v="11"/>
    <s v="Business"/>
    <s v="Berkeley"/>
    <s v="Emeryville"/>
    <n v="2.5"/>
    <m/>
  </r>
  <r>
    <n v="963"/>
    <d v="2016-11-14T20:19:00"/>
    <x v="10"/>
    <d v="2016-11-14T20:30:00"/>
    <s v="11"/>
    <s v="Business"/>
    <s v="Emeryville"/>
    <s v="Berkeley"/>
    <n v="3.7"/>
    <s v="Errand/Supplies"/>
  </r>
  <r>
    <n v="964"/>
    <d v="2016-11-15T13:59:00"/>
    <x v="10"/>
    <d v="2016-11-15T14:06:00"/>
    <s v="11"/>
    <s v="Business"/>
    <s v="Berkeley"/>
    <s v="Oakland"/>
    <n v="5.0999999999999996"/>
    <m/>
  </r>
  <r>
    <n v="965"/>
    <d v="2016-11-15T14:09:00"/>
    <x v="10"/>
    <d v="2016-11-15T14:26:00"/>
    <s v="11"/>
    <s v="Business"/>
    <s v="Oakland"/>
    <s v="San Francisco"/>
    <n v="9.6999999999999993"/>
    <s v="Temporary Site"/>
  </r>
  <r>
    <n v="966"/>
    <d v="2016-11-15T20:44:00"/>
    <x v="10"/>
    <d v="2016-11-15T21:00:00"/>
    <s v="11"/>
    <s v="Business"/>
    <s v="San Francisco"/>
    <s v="Berkeley"/>
    <n v="11.8"/>
    <s v="Temporary Site"/>
  </r>
  <r>
    <n v="967"/>
    <d v="2016-11-16T20:21:00"/>
    <x v="10"/>
    <d v="2016-11-16T20:27:00"/>
    <s v="11"/>
    <s v="Business"/>
    <s v="Berkeley"/>
    <s v="El Cerrito"/>
    <n v="2.2999999999999998"/>
    <s v="Temporary Site"/>
  </r>
  <r>
    <n v="968"/>
    <d v="2016-11-16T22:52:00"/>
    <x v="10"/>
    <d v="2016-11-16T23:02:00"/>
    <s v="11"/>
    <s v="Business"/>
    <s v="El Cerrito"/>
    <s v="Berkeley"/>
    <n v="3.1"/>
    <s v="Meal/Entertain"/>
  </r>
  <r>
    <n v="969"/>
    <d v="2016-11-17T10:13:00"/>
    <x v="10"/>
    <d v="2016-11-17T10:44:00"/>
    <s v="11"/>
    <s v="Business"/>
    <s v="Berkeley"/>
    <s v="Oakland"/>
    <n v="16.3"/>
    <s v="Customer Visit"/>
  </r>
  <r>
    <n v="970"/>
    <d v="2016-11-18T20:09:00"/>
    <x v="10"/>
    <d v="2016-11-18T20:19:00"/>
    <s v="11"/>
    <s v="Business"/>
    <s v="Cary"/>
    <s v="Morrisville"/>
    <n v="3.1"/>
    <s v="Meal/Entertain"/>
  </r>
  <r>
    <n v="971"/>
    <d v="2016-11-18T21:23:00"/>
    <x v="10"/>
    <d v="2016-11-18T21:34:00"/>
    <s v="11"/>
    <s v="Business"/>
    <s v="Morrisville"/>
    <s v="Cary"/>
    <n v="5.2"/>
    <s v="Meal/Entertain"/>
  </r>
  <r>
    <n v="972"/>
    <d v="2016-11-18T21:56:00"/>
    <x v="10"/>
    <d v="2016-11-18T22:21:00"/>
    <s v="11"/>
    <s v="Business"/>
    <s v="Krendle Woods"/>
    <s v="Whitebridge"/>
    <n v="6.1"/>
    <s v="Meeting"/>
  </r>
  <r>
    <n v="973"/>
    <d v="2016-11-19T13:51:00"/>
    <x v="10"/>
    <d v="2016-11-19T14:10:00"/>
    <s v="11"/>
    <s v="Business"/>
    <s v="Cary"/>
    <s v="Durham"/>
    <n v="10.3"/>
    <s v="Meeting"/>
  </r>
  <r>
    <n v="974"/>
    <d v="2016-11-19T14:30:00"/>
    <x v="10"/>
    <d v="2016-11-19T14:51:00"/>
    <s v="11"/>
    <s v="Business"/>
    <s v="Durham"/>
    <s v="Cary"/>
    <n v="10.5"/>
    <s v="Meeting"/>
  </r>
  <r>
    <n v="975"/>
    <d v="2016-11-19T16:01:00"/>
    <x v="10"/>
    <d v="2016-11-19T16:06:00"/>
    <s v="11"/>
    <s v="Business"/>
    <s v="Cary"/>
    <s v="Cary"/>
    <n v="1.5"/>
    <m/>
  </r>
  <r>
    <n v="976"/>
    <d v="2016-11-19T16:27:00"/>
    <x v="10"/>
    <d v="2016-11-19T16:41:00"/>
    <s v="11"/>
    <s v="Business"/>
    <s v="Cary"/>
    <s v="Cary"/>
    <n v="1.8"/>
    <m/>
  </r>
  <r>
    <n v="977"/>
    <d v="2016-11-19T17:41:00"/>
    <x v="10"/>
    <d v="2016-11-19T17:54:00"/>
    <s v="11"/>
    <s v="Business"/>
    <s v="Cary"/>
    <s v="Apex"/>
    <n v="5.4"/>
    <s v="Errand/Supplies"/>
  </r>
  <r>
    <n v="978"/>
    <d v="2016-11-19T21:14:00"/>
    <x v="10"/>
    <d v="2016-11-19T21:35:00"/>
    <s v="11"/>
    <s v="Business"/>
    <s v="Apex"/>
    <s v="Cary"/>
    <n v="5.4"/>
    <s v="Customer Visit"/>
  </r>
  <r>
    <n v="979"/>
    <d v="2016-11-20T10:27:00"/>
    <x v="10"/>
    <d v="2016-11-20T11:32:00"/>
    <s v="11"/>
    <s v="Business"/>
    <s v="Cary"/>
    <s v="Cary"/>
    <n v="39.200000000000003"/>
    <s v="Between Offices"/>
  </r>
  <r>
    <n v="980"/>
    <d v="2016-11-20T11:58:00"/>
    <x v="10"/>
    <d v="2016-11-20T12:28:00"/>
    <s v="11"/>
    <s v="Business"/>
    <s v="Cary"/>
    <s v="Cary"/>
    <n v="6.4"/>
    <s v="Customer Visit"/>
  </r>
  <r>
    <n v="981"/>
    <d v="2016-11-20T14:58:00"/>
    <x v="10"/>
    <d v="2016-11-20T15:07:00"/>
    <s v="11"/>
    <s v="Business"/>
    <s v="Cary"/>
    <s v="Cary"/>
    <n v="2.7"/>
    <s v="Meeting"/>
  </r>
  <r>
    <n v="982"/>
    <d v="2016-11-20T17:45:00"/>
    <x v="10"/>
    <d v="2016-11-20T18:37:00"/>
    <s v="11"/>
    <s v="Business"/>
    <s v="Cary"/>
    <s v="Cary"/>
    <n v="18.5"/>
    <s v="Errand/Supplies"/>
  </r>
  <r>
    <n v="983"/>
    <d v="2016-11-21T13:37:00"/>
    <x v="10"/>
    <d v="2016-11-21T13:49:00"/>
    <s v="11"/>
    <s v="Business"/>
    <s v="Cary"/>
    <s v="Cary"/>
    <n v="2.5"/>
    <s v="Meal/Entertain"/>
  </r>
  <r>
    <n v="984"/>
    <d v="2016-11-21T14:34:00"/>
    <x v="10"/>
    <d v="2016-11-21T14:44:00"/>
    <s v="11"/>
    <s v="Business"/>
    <s v="Cary"/>
    <s v="Cary"/>
    <n v="2.1"/>
    <s v="Meal/Entertain"/>
  </r>
  <r>
    <n v="985"/>
    <d v="2016-11-21T17:50:00"/>
    <x v="10"/>
    <d v="2016-11-21T18:04:00"/>
    <s v="11"/>
    <s v="Business"/>
    <s v="Cary"/>
    <s v="Unknown Location"/>
    <n v="6.7"/>
    <s v="Errand/Supplies"/>
  </r>
  <r>
    <n v="986"/>
    <d v="2016-11-21T18:18:00"/>
    <x v="10"/>
    <d v="2016-11-21T18:27:00"/>
    <s v="11"/>
    <s v="Business"/>
    <s v="Unknown Location"/>
    <s v="Morrisville"/>
    <n v="3.5"/>
    <s v="Meal/Entertain"/>
  </r>
  <r>
    <n v="987"/>
    <d v="2016-11-21T18:43:00"/>
    <x v="10"/>
    <d v="2016-11-21T18:51:00"/>
    <s v="11"/>
    <s v="Business"/>
    <s v="Morrisville"/>
    <s v="Cary"/>
    <n v="3.4"/>
    <s v="Errand/Supplies"/>
  </r>
  <r>
    <n v="988"/>
    <d v="2016-11-22T15:12:00"/>
    <x v="10"/>
    <d v="2016-11-22T15:27:00"/>
    <s v="11"/>
    <s v="Business"/>
    <s v="Cary"/>
    <s v="Cary"/>
    <n v="5.5"/>
    <s v="Meeting"/>
  </r>
  <r>
    <n v="989"/>
    <d v="2016-11-22T15:31:00"/>
    <x v="10"/>
    <d v="2016-11-22T15:44:00"/>
    <s v="11"/>
    <s v="Business"/>
    <s v="Cary"/>
    <s v="Cary"/>
    <n v="4.0999999999999996"/>
    <s v="Meeting"/>
  </r>
  <r>
    <n v="990"/>
    <d v="2016-11-22T15:51:00"/>
    <x v="10"/>
    <d v="2016-11-22T16:43:00"/>
    <s v="11"/>
    <s v="Business"/>
    <s v="Cary"/>
    <s v="Cary"/>
    <n v="12.7"/>
    <s v="Customer Visit"/>
  </r>
  <r>
    <n v="991"/>
    <d v="2016-11-22T18:18:00"/>
    <x v="10"/>
    <d v="2016-11-22T18:28:00"/>
    <s v="11"/>
    <s v="Business"/>
    <s v="Cary"/>
    <s v="Morrisville"/>
    <n v="3"/>
    <s v="Meal/Entertain"/>
  </r>
  <r>
    <n v="992"/>
    <d v="2016-11-22T21:02:00"/>
    <x v="10"/>
    <d v="2016-11-22T21:14:00"/>
    <s v="11"/>
    <s v="Business"/>
    <s v="Morrisville"/>
    <s v="Cary"/>
    <n v="3.5"/>
    <s v="Customer Visit"/>
  </r>
  <r>
    <n v="993"/>
    <d v="2016-11-23T15:34:00"/>
    <x v="10"/>
    <d v="2016-11-23T15:50:00"/>
    <s v="11"/>
    <s v="Business"/>
    <s v="Cary"/>
    <s v="Cary"/>
    <n v="5.9"/>
    <s v="Meal/Entertain"/>
  </r>
  <r>
    <n v="994"/>
    <d v="2016-11-23T16:18:00"/>
    <x v="10"/>
    <d v="2016-11-23T16:29:00"/>
    <s v="11"/>
    <s v="Business"/>
    <s v="Cary"/>
    <s v="Cary"/>
    <n v="1.9"/>
    <m/>
  </r>
  <r>
    <n v="995"/>
    <d v="2016-11-23T16:49:00"/>
    <x v="10"/>
    <d v="2016-11-23T17:00:00"/>
    <s v="11"/>
    <s v="Business"/>
    <s v="Cary"/>
    <s v="Cary"/>
    <n v="3.3"/>
    <m/>
  </r>
  <r>
    <n v="996"/>
    <d v="2016-11-23T18:37:00"/>
    <x v="10"/>
    <d v="2016-11-23T18:47:00"/>
    <s v="11"/>
    <s v="Business"/>
    <s v="Cary"/>
    <s v="Cary"/>
    <n v="1.3"/>
    <m/>
  </r>
  <r>
    <n v="997"/>
    <d v="2016-11-25T11:47:00"/>
    <x v="10"/>
    <d v="2016-11-25T12:04:00"/>
    <s v="11"/>
    <s v="Business"/>
    <s v="Cary"/>
    <s v="Durham"/>
    <n v="10.3"/>
    <s v="Meeting"/>
  </r>
  <r>
    <n v="998"/>
    <d v="2016-11-25T13:13:00"/>
    <x v="10"/>
    <d v="2016-11-25T13:31:00"/>
    <s v="11"/>
    <s v="Business"/>
    <s v="Durham"/>
    <s v="Cary"/>
    <n v="11.1"/>
    <s v="Meeting"/>
  </r>
  <r>
    <n v="999"/>
    <d v="2016-11-26T15:54:00"/>
    <x v="10"/>
    <d v="2016-11-26T15:59:00"/>
    <s v="11"/>
    <s v="Business"/>
    <s v="Cary"/>
    <s v="Cary"/>
    <n v="1.4"/>
    <m/>
  </r>
  <r>
    <n v="1000"/>
    <d v="2016-11-26T17:00:00"/>
    <x v="10"/>
    <d v="2016-11-26T17:12:00"/>
    <s v="11"/>
    <s v="Business"/>
    <s v="Cary"/>
    <s v="Apex"/>
    <n v="5.0999999999999996"/>
    <s v="Meeting"/>
  </r>
  <r>
    <n v="1001"/>
    <d v="2016-11-26T17:36:00"/>
    <x v="10"/>
    <d v="2016-11-26T17:56:00"/>
    <s v="11"/>
    <s v="Business"/>
    <s v="Apex"/>
    <s v="Holly Springs"/>
    <n v="9"/>
    <s v="Meeting"/>
  </r>
  <r>
    <n v="1002"/>
    <d v="2016-11-26T18:29:00"/>
    <x v="10"/>
    <d v="2016-11-26T19:04:00"/>
    <s v="11"/>
    <s v="Business"/>
    <s v="Holly Springs"/>
    <s v="Cary"/>
    <n v="13.3"/>
    <s v="Between Offices"/>
  </r>
  <r>
    <n v="1003"/>
    <d v="2016-11-26T19:47:00"/>
    <x v="10"/>
    <d v="2016-11-26T19:54:00"/>
    <s v="11"/>
    <s v="Business"/>
    <s v="Cary"/>
    <s v="Cary"/>
    <n v="2.5"/>
    <s v="Errand/Supplies"/>
  </r>
  <r>
    <n v="1004"/>
    <d v="2016-11-27T15:59:00"/>
    <x v="10"/>
    <d v="2016-11-27T16:06:00"/>
    <s v="11"/>
    <s v="Business"/>
    <s v="Cary"/>
    <s v="Morrisville"/>
    <n v="3.3"/>
    <s v="Meal/Entertain"/>
  </r>
  <r>
    <n v="1005"/>
    <d v="2016-11-27T18:55:00"/>
    <x v="10"/>
    <d v="2016-11-27T19:09:00"/>
    <s v="11"/>
    <s v="Business"/>
    <s v="Morrisville"/>
    <s v="Cary"/>
    <n v="2.9"/>
    <m/>
  </r>
  <r>
    <n v="1006"/>
    <d v="2016-11-30T11:03:00"/>
    <x v="10"/>
    <d v="2016-11-30T11:34:00"/>
    <s v="11"/>
    <s v="Business"/>
    <s v="Cary"/>
    <s v="Raleigh"/>
    <n v="8.5"/>
    <s v="Customer Visit"/>
  </r>
  <r>
    <n v="1007"/>
    <d v="2016-11-30T11:53:00"/>
    <x v="10"/>
    <d v="2016-11-30T12:35:00"/>
    <s v="11"/>
    <s v="Business"/>
    <s v="Raleigh"/>
    <s v="Morrisville"/>
    <n v="6.7"/>
    <s v="Temporary Site"/>
  </r>
  <r>
    <n v="1008"/>
    <d v="2016-11-30T12:43:00"/>
    <x v="10"/>
    <d v="2016-11-30T12:53:00"/>
    <s v="11"/>
    <s v="Business"/>
    <s v="Morrisville"/>
    <s v="Cary"/>
    <n v="3.1"/>
    <m/>
  </r>
  <r>
    <n v="1009"/>
    <d v="2016-12-01T07:44:00"/>
    <x v="11"/>
    <d v="2016-12-01T07:59:00"/>
    <s v="12"/>
    <s v="Business"/>
    <s v="Cary"/>
    <s v="Cary"/>
    <n v="5.5"/>
    <s v="Meeting"/>
  </r>
  <r>
    <n v="1010"/>
    <d v="2016-12-01T08:37:00"/>
    <x v="11"/>
    <d v="2016-12-01T08:53:00"/>
    <s v="12"/>
    <s v="Business"/>
    <s v="Cary"/>
    <s v="Cary"/>
    <n v="5.5"/>
    <s v="Errand/Supplies"/>
  </r>
  <r>
    <n v="1011"/>
    <d v="2016-12-01T18:00:00"/>
    <x v="11"/>
    <d v="2016-12-01T18:12:00"/>
    <s v="12"/>
    <s v="Business"/>
    <s v="Cary"/>
    <s v="Morrisville"/>
    <n v="2.9"/>
    <s v="Meal/Entertain"/>
  </r>
  <r>
    <n v="1012"/>
    <d v="2016-12-01T20:36:00"/>
    <x v="11"/>
    <d v="2016-12-01T20:46:00"/>
    <s v="12"/>
    <s v="Business"/>
    <s v="Morrisville"/>
    <s v="Cary"/>
    <n v="2.9"/>
    <s v="Customer Visit"/>
  </r>
  <r>
    <n v="1013"/>
    <d v="2016-12-02T12:12:00"/>
    <x v="11"/>
    <d v="2016-12-02T12:23:00"/>
    <s v="12"/>
    <s v="Business"/>
    <s v="Cary"/>
    <s v="Apex"/>
    <n v="5.0999999999999996"/>
    <s v="Meal/Entertain"/>
  </r>
  <r>
    <n v="1014"/>
    <d v="2016-12-02T13:07:00"/>
    <x v="11"/>
    <d v="2016-12-02T13:22:00"/>
    <s v="12"/>
    <s v="Business"/>
    <s v="Apex"/>
    <s v="Cary"/>
    <n v="5.3"/>
    <s v="Customer Visit"/>
  </r>
  <r>
    <n v="1015"/>
    <d v="2016-12-02T20:41:00"/>
    <x v="11"/>
    <d v="2016-12-02T20:48:00"/>
    <s v="12"/>
    <s v="Business"/>
    <s v="Cary"/>
    <s v="Morrisville"/>
    <n v="3.3"/>
    <s v="Meal/Entertain"/>
  </r>
  <r>
    <n v="1016"/>
    <d v="2016-12-02T22:59:00"/>
    <x v="11"/>
    <d v="2016-12-02T23:07:00"/>
    <s v="12"/>
    <s v="Business"/>
    <s v="Morrisville"/>
    <s v="Cary"/>
    <n v="3"/>
    <s v="Customer Visit"/>
  </r>
  <r>
    <n v="1017"/>
    <d v="2016-12-03T18:35:00"/>
    <x v="11"/>
    <d v="2016-12-03T18:56:00"/>
    <s v="12"/>
    <s v="Business"/>
    <s v="Cary"/>
    <s v="Wake Co."/>
    <n v="6.6"/>
    <s v="Errand/Supplies"/>
  </r>
  <r>
    <n v="1018"/>
    <d v="2016-12-03T19:08:00"/>
    <x v="11"/>
    <d v="2016-12-03T19:15:00"/>
    <s v="12"/>
    <s v="Business"/>
    <s v="Wake Co."/>
    <s v="Morrisville"/>
    <n v="1.8"/>
    <m/>
  </r>
  <r>
    <n v="1019"/>
    <d v="2016-12-03T20:31:00"/>
    <x v="11"/>
    <d v="2016-12-03T20:41:00"/>
    <s v="12"/>
    <s v="Business"/>
    <s v="Morrisville"/>
    <s v="Cary"/>
    <n v="3"/>
    <s v="Customer Visit"/>
  </r>
  <r>
    <n v="1020"/>
    <d v="2016-12-04T18:56:00"/>
    <x v="11"/>
    <d v="2016-12-04T19:03:00"/>
    <s v="12"/>
    <s v="Business"/>
    <s v="Cary"/>
    <s v="Morrisville"/>
    <n v="2.9"/>
    <s v="Meal/Entertain"/>
  </r>
  <r>
    <n v="1021"/>
    <d v="2016-12-04T20:23:00"/>
    <x v="11"/>
    <d v="2016-12-04T20:34:00"/>
    <s v="12"/>
    <s v="Business"/>
    <s v="Morrisville"/>
    <s v="Cary"/>
    <n v="3.4"/>
    <s v="Customer Visit"/>
  </r>
  <r>
    <n v="1022"/>
    <d v="2016-12-05T18:04:00"/>
    <x v="11"/>
    <d v="2016-12-05T18:17:00"/>
    <s v="12"/>
    <s v="Business"/>
    <s v="Cary"/>
    <s v="Cary"/>
    <n v="4.0999999999999996"/>
    <m/>
  </r>
  <r>
    <n v="1023"/>
    <d v="2016-12-05T19:22:00"/>
    <x v="11"/>
    <d v="2016-12-05T19:37:00"/>
    <s v="12"/>
    <s v="Business"/>
    <s v="Cary"/>
    <s v="Cary"/>
    <n v="3.8"/>
    <s v="Meal/Entertain"/>
  </r>
  <r>
    <n v="1024"/>
    <d v="2016-12-07T12:03:00"/>
    <x v="11"/>
    <d v="2016-12-07T12:32:00"/>
    <s v="12"/>
    <s v="Business"/>
    <s v="Cary"/>
    <s v="Cary"/>
    <n v="6.6"/>
    <s v="Meeting"/>
  </r>
  <r>
    <n v="1025"/>
    <d v="2016-12-07T12:35:00"/>
    <x v="11"/>
    <d v="2016-12-07T12:46:00"/>
    <s v="12"/>
    <s v="Business"/>
    <s v="Cary"/>
    <s v="Cary"/>
    <n v="4"/>
    <s v="Meeting"/>
  </r>
  <r>
    <n v="1026"/>
    <d v="2016-12-07T19:53:00"/>
    <x v="11"/>
    <d v="2016-12-07T20:13:00"/>
    <s v="12"/>
    <s v="Business"/>
    <s v="Cary"/>
    <s v="Cary"/>
    <n v="7"/>
    <s v="Customer Visit"/>
  </r>
  <r>
    <n v="1027"/>
    <d v="2016-12-07T21:13:00"/>
    <x v="11"/>
    <d v="2016-12-07T21:50:00"/>
    <s v="12"/>
    <s v="Business"/>
    <s v="Cary"/>
    <s v="Cary"/>
    <n v="6.9"/>
    <s v="Meal/Entertain"/>
  </r>
  <r>
    <n v="1028"/>
    <d v="2016-12-08T14:19:00"/>
    <x v="11"/>
    <d v="2016-12-08T14:32:00"/>
    <s v="12"/>
    <s v="Business"/>
    <s v="Cary"/>
    <s v="Cary"/>
    <n v="3.4"/>
    <s v="Errand/Supplies"/>
  </r>
  <r>
    <n v="1029"/>
    <d v="2016-12-08T14:53:00"/>
    <x v="11"/>
    <d v="2016-12-08T15:02:00"/>
    <s v="12"/>
    <s v="Business"/>
    <s v="Cary"/>
    <s v="Cary"/>
    <n v="3.4"/>
    <s v="Errand/Supplies"/>
  </r>
  <r>
    <n v="1030"/>
    <d v="2016-12-08T19:22:00"/>
    <x v="11"/>
    <d v="2016-12-08T19:27:00"/>
    <s v="12"/>
    <s v="Business"/>
    <s v="Cary"/>
    <s v="Cary"/>
    <n v="2"/>
    <s v="Meeting"/>
  </r>
  <r>
    <n v="1031"/>
    <d v="2016-12-08T21:26:00"/>
    <x v="11"/>
    <d v="2016-12-08T21:31:00"/>
    <s v="12"/>
    <s v="Business"/>
    <s v="Cary"/>
    <s v="Cary"/>
    <n v="2"/>
    <s v="Errand/Supplies"/>
  </r>
  <r>
    <n v="1032"/>
    <d v="2016-12-09T12:09:00"/>
    <x v="11"/>
    <d v="2016-12-09T12:24:00"/>
    <s v="12"/>
    <s v="Business"/>
    <s v="Cary"/>
    <s v="Apex"/>
    <n v="5.0999999999999996"/>
    <s v="Errand/Supplies"/>
  </r>
  <r>
    <n v="1033"/>
    <d v="2016-12-09T13:15:00"/>
    <x v="11"/>
    <d v="2016-12-09T13:43:00"/>
    <s v="12"/>
    <s v="Business"/>
    <s v="Apex"/>
    <s v="Cary"/>
    <n v="8.8000000000000007"/>
    <s v="Temporary Site"/>
  </r>
  <r>
    <n v="1034"/>
    <d v="2016-12-09T20:11:00"/>
    <x v="11"/>
    <d v="2016-12-09T20:34:00"/>
    <s v="12"/>
    <s v="Business"/>
    <s v="Cary"/>
    <s v="Cary"/>
    <n v="5.6"/>
    <s v="Meeting"/>
  </r>
  <r>
    <n v="1035"/>
    <d v="2016-12-09T22:03:00"/>
    <x v="11"/>
    <d v="2016-12-09T22:57:00"/>
    <s v="12"/>
    <s v="Business"/>
    <s v="Cary"/>
    <s v="Cary"/>
    <n v="18.899999999999999"/>
    <s v="Customer Visit"/>
  </r>
  <r>
    <n v="1036"/>
    <d v="2016-12-10T12:43:00"/>
    <x v="11"/>
    <d v="2016-12-10T13:16:00"/>
    <s v="12"/>
    <s v="Business"/>
    <s v="Cary"/>
    <s v="Fuquay-Varina"/>
    <n v="15.6"/>
    <s v="Meeting"/>
  </r>
  <r>
    <n v="1037"/>
    <d v="2016-12-10T14:42:00"/>
    <x v="11"/>
    <d v="2016-12-10T15:18:00"/>
    <s v="12"/>
    <s v="Business"/>
    <s v="Fuquay-Varina"/>
    <s v="Cary"/>
    <n v="15.6"/>
    <s v="Errand/Supplies"/>
  </r>
  <r>
    <n v="1038"/>
    <d v="2016-12-10T18:17:00"/>
    <x v="11"/>
    <d v="2016-12-10T18:27:00"/>
    <s v="12"/>
    <s v="Business"/>
    <s v="Cary"/>
    <s v="Morrisville"/>
    <n v="3"/>
    <s v="Meal/Entertain"/>
  </r>
  <r>
    <n v="1039"/>
    <d v="2016-12-10T22:09:00"/>
    <x v="11"/>
    <d v="2016-12-10T22:21:00"/>
    <s v="12"/>
    <s v="Business"/>
    <s v="Morrisville"/>
    <s v="Cary"/>
    <n v="3.1"/>
    <s v="Customer Visit"/>
  </r>
  <r>
    <n v="1040"/>
    <d v="2016-12-11T16:06:00"/>
    <x v="11"/>
    <d v="2016-12-11T16:16:00"/>
    <s v="12"/>
    <s v="Business"/>
    <s v="Cary"/>
    <s v="Morrisville"/>
    <n v="3"/>
    <s v="Meal/Entertain"/>
  </r>
  <r>
    <n v="1041"/>
    <d v="2016-12-11T19:05:00"/>
    <x v="11"/>
    <d v="2016-12-11T19:15:00"/>
    <s v="12"/>
    <s v="Business"/>
    <s v="Morrisville"/>
    <s v="Cary"/>
    <n v="4.8"/>
    <s v="Errand/Supplies"/>
  </r>
  <r>
    <n v="1042"/>
    <d v="2016-12-11T21:48:00"/>
    <x v="11"/>
    <d v="2016-12-11T21:56:00"/>
    <s v="12"/>
    <s v="Business"/>
    <s v="Cary"/>
    <s v="Cary"/>
    <n v="2.1"/>
    <s v="Errand/Supplies"/>
  </r>
  <r>
    <n v="1043"/>
    <d v="2016-12-12T13:22:00"/>
    <x v="11"/>
    <d v="2016-12-12T13:32:00"/>
    <s v="12"/>
    <s v="Business"/>
    <s v="Cary"/>
    <s v="Cary"/>
    <n v="3.1"/>
    <s v="Errand/Supplies"/>
  </r>
  <r>
    <n v="1044"/>
    <d v="2016-12-12T13:36:00"/>
    <x v="11"/>
    <d v="2016-12-12T13:51:00"/>
    <s v="12"/>
    <s v="Business"/>
    <s v="Cary"/>
    <s v="Apex"/>
    <n v="4.4000000000000004"/>
    <s v="Meal/Entertain"/>
  </r>
  <r>
    <n v="1045"/>
    <d v="2016-12-12T14:26:00"/>
    <x v="11"/>
    <d v="2016-12-12T14:39:00"/>
    <s v="12"/>
    <s v="Business"/>
    <s v="Apex"/>
    <s v="Cary"/>
    <n v="4.7"/>
    <s v="Customer Visit"/>
  </r>
  <r>
    <n v="1046"/>
    <d v="2016-12-12T17:51:00"/>
    <x v="11"/>
    <d v="2016-12-12T18:01:00"/>
    <s v="12"/>
    <s v="Business"/>
    <s v="Cary"/>
    <s v="Morrisville"/>
    <n v="3"/>
    <s v="Meal/Entertain"/>
  </r>
  <r>
    <n v="1047"/>
    <d v="2016-12-12T20:48:00"/>
    <x v="11"/>
    <d v="2016-12-12T20:57:00"/>
    <s v="12"/>
    <s v="Business"/>
    <s v="Morrisville"/>
    <s v="Cary"/>
    <n v="3"/>
    <s v="Customer Visit"/>
  </r>
  <r>
    <n v="1048"/>
    <d v="2016-12-13T18:19:00"/>
    <x v="11"/>
    <d v="2016-12-13T18:29:00"/>
    <s v="12"/>
    <s v="Business"/>
    <s v="Cary"/>
    <s v="Cary"/>
    <n v="4.2"/>
    <s v="Errand/Supplies"/>
  </r>
  <r>
    <n v="1049"/>
    <d v="2016-12-13T20:20:00"/>
    <x v="11"/>
    <d v="2016-12-13T20:29:00"/>
    <s v="12"/>
    <s v="Business"/>
    <s v="Cary"/>
    <s v="Cary"/>
    <n v="4.0999999999999996"/>
    <s v="Meal/Entertain"/>
  </r>
  <r>
    <n v="1050"/>
    <d v="2016-12-14T16:52:00"/>
    <x v="11"/>
    <d v="2016-12-14T17:10:00"/>
    <s v="12"/>
    <s v="Business"/>
    <s v="Cary"/>
    <s v="Cary"/>
    <n v="3.4"/>
    <m/>
  </r>
  <r>
    <n v="1051"/>
    <d v="2016-12-14T17:22:00"/>
    <x v="11"/>
    <d v="2016-12-14T17:34:00"/>
    <s v="12"/>
    <s v="Business"/>
    <s v="Cary"/>
    <s v="Cary"/>
    <n v="3.3"/>
    <m/>
  </r>
  <r>
    <n v="1052"/>
    <d v="2016-12-14T17:50:00"/>
    <x v="11"/>
    <d v="2016-12-14T18:00:00"/>
    <s v="12"/>
    <s v="Business"/>
    <s v="Cary"/>
    <s v="Morrisville"/>
    <n v="3"/>
    <s v="Meal/Entertain"/>
  </r>
  <r>
    <n v="1053"/>
    <d v="2016-12-14T20:24:00"/>
    <x v="11"/>
    <d v="2016-12-14T20:40:00"/>
    <s v="12"/>
    <s v="Business"/>
    <s v="Morrisville"/>
    <s v="Cary"/>
    <n v="3.1"/>
    <s v="Customer Visit"/>
  </r>
  <r>
    <n v="1054"/>
    <d v="2016-12-15T14:20:00"/>
    <x v="11"/>
    <d v="2016-12-15T14:54:00"/>
    <s v="12"/>
    <s v="Business"/>
    <s v="Cary"/>
    <s v="Morrisville"/>
    <n v="10.6"/>
    <s v="Meeting"/>
  </r>
  <r>
    <n v="1060"/>
    <d v="2016-12-19T09:08:00"/>
    <x v="11"/>
    <d v="2016-12-19T09:36:00"/>
    <s v="12"/>
    <s v="Business"/>
    <s v="Unknown Location"/>
    <s v="Islamabad"/>
    <n v="7.7"/>
    <s v="Errand/Supplies"/>
  </r>
  <r>
    <n v="1061"/>
    <d v="2016-12-19T10:15:00"/>
    <x v="11"/>
    <d v="2016-12-19T10:34:00"/>
    <s v="12"/>
    <s v="Business"/>
    <s v="Islamabad"/>
    <s v="Rawalpindi"/>
    <n v="5.9"/>
    <s v="Temporary Site"/>
  </r>
  <r>
    <n v="1062"/>
    <d v="2016-12-19T13:04:00"/>
    <x v="11"/>
    <d v="2016-12-19T13:08:00"/>
    <s v="12"/>
    <s v="Business"/>
    <s v="Rawalpindi"/>
    <s v="Unknown Location"/>
    <n v="0.7"/>
    <s v="Errand/Supplies"/>
  </r>
  <r>
    <n v="1067"/>
    <d v="2016-12-19T15:09:00"/>
    <x v="11"/>
    <d v="2016-12-19T15:38:00"/>
    <s v="12"/>
    <s v="Business"/>
    <s v="Unknown Location"/>
    <s v="Rawalpindi"/>
    <n v="10.199999999999999"/>
    <s v="Customer Visit"/>
  </r>
  <r>
    <n v="1068"/>
    <d v="2016-12-19T16:50:00"/>
    <x v="11"/>
    <d v="2016-12-19T17:09:00"/>
    <s v="12"/>
    <s v="Business"/>
    <s v="Rawalpindi"/>
    <s v="Islamabad"/>
    <n v="7.2"/>
    <s v="Customer Visit"/>
  </r>
  <r>
    <n v="1069"/>
    <d v="2016-12-19T19:05:00"/>
    <x v="11"/>
    <d v="2016-12-19T19:17:00"/>
    <s v="12"/>
    <s v="Business"/>
    <s v="Islamabad"/>
    <s v="Unknown Location"/>
    <n v="2.2000000000000002"/>
    <m/>
  </r>
  <r>
    <n v="1071"/>
    <d v="2016-12-20T08:49:00"/>
    <x v="11"/>
    <d v="2016-12-20T09:24:00"/>
    <s v="12"/>
    <s v="Business"/>
    <s v="Unknown Location"/>
    <s v="Rawalpindi"/>
    <n v="12"/>
    <m/>
  </r>
  <r>
    <n v="1072"/>
    <d v="2016-12-20T10:30:00"/>
    <x v="11"/>
    <d v="2016-12-20T10:48:00"/>
    <s v="12"/>
    <s v="Business"/>
    <s v="Rawalpindi"/>
    <s v="Rawalpindi"/>
    <n v="3.3"/>
    <s v="Errand/Supplies"/>
  </r>
  <r>
    <n v="1073"/>
    <d v="2016-12-20T11:30:00"/>
    <x v="11"/>
    <d v="2016-12-20T12:17:00"/>
    <s v="12"/>
    <s v="Business"/>
    <s v="Rawalpindi"/>
    <s v="Unknown Location"/>
    <n v="19.399999999999999"/>
    <s v="Meeting"/>
  </r>
  <r>
    <n v="1075"/>
    <d v="2016-12-20T13:54:00"/>
    <x v="11"/>
    <d v="2016-12-20T14:17:00"/>
    <s v="12"/>
    <s v="Business"/>
    <s v="Unknown Location"/>
    <s v="Islamabad"/>
    <n v="5.7"/>
    <s v="Temporary Site"/>
  </r>
  <r>
    <n v="1076"/>
    <d v="2016-12-20T16:14:00"/>
    <x v="11"/>
    <d v="2016-12-20T16:24:00"/>
    <s v="12"/>
    <s v="Business"/>
    <s v="Islamabad"/>
    <s v="Islamabad"/>
    <n v="1.8"/>
    <s v="Errand/Supplies"/>
  </r>
  <r>
    <n v="1077"/>
    <d v="2016-12-20T16:56:00"/>
    <x v="11"/>
    <d v="2016-12-20T17:07:00"/>
    <s v="12"/>
    <s v="Business"/>
    <s v="Islamabad"/>
    <s v="Islamabad"/>
    <n v="1.4"/>
    <s v="Errand/Supplies"/>
  </r>
  <r>
    <n v="1078"/>
    <d v="2016-12-20T18:47:00"/>
    <x v="11"/>
    <d v="2016-12-20T19:21:00"/>
    <s v="12"/>
    <s v="Business"/>
    <s v="Islamabad"/>
    <s v="Unknown Location"/>
    <n v="10.3"/>
    <s v="Customer Visit"/>
  </r>
  <r>
    <n v="1080"/>
    <d v="2016-12-21T10:14:00"/>
    <x v="11"/>
    <d v="2016-12-21T10:30:00"/>
    <s v="12"/>
    <s v="Business"/>
    <s v="Unknown Location"/>
    <s v="Islamabad"/>
    <n v="4.9000000000000004"/>
    <s v="Errand/Supplies"/>
  </r>
  <r>
    <n v="1081"/>
    <d v="2016-12-21T11:35:00"/>
    <x v="11"/>
    <d v="2016-12-21T11:49:00"/>
    <s v="12"/>
    <s v="Business"/>
    <s v="Islamabad"/>
    <s v="Unknown Location"/>
    <n v="3.5"/>
    <s v="Meal/Entertain"/>
  </r>
  <r>
    <n v="1084"/>
    <d v="2016-12-21T15:55:00"/>
    <x v="11"/>
    <d v="2016-12-21T16:05:00"/>
    <s v="12"/>
    <s v="Business"/>
    <s v="Unknown Location"/>
    <s v="Islamabad"/>
    <n v="2.1"/>
    <s v="Errand/Supplies"/>
  </r>
  <r>
    <n v="1085"/>
    <d v="2016-12-21T17:45:00"/>
    <x v="11"/>
    <d v="2016-12-21T17:54:00"/>
    <s v="12"/>
    <s v="Business"/>
    <s v="Islamabad"/>
    <s v="Islamabad"/>
    <n v="2.1"/>
    <s v="Meeting"/>
  </r>
  <r>
    <n v="1086"/>
    <d v="2016-12-21T17:59:00"/>
    <x v="11"/>
    <d v="2016-12-21T18:31:00"/>
    <s v="12"/>
    <s v="Business"/>
    <s v="Islamabad"/>
    <s v="Unknown Location"/>
    <n v="7.2"/>
    <s v="Customer Visit"/>
  </r>
  <r>
    <n v="1087"/>
    <d v="2016-12-21T19:49:00"/>
    <x v="11"/>
    <d v="2016-12-21T20:35:00"/>
    <s v="12"/>
    <s v="Business"/>
    <s v="Unknown Location"/>
    <s v="Rawalpindi"/>
    <n v="12"/>
    <s v="Meeting"/>
  </r>
  <r>
    <n v="1088"/>
    <d v="2016-12-21T20:56:00"/>
    <x v="11"/>
    <d v="2016-12-21T23:42:00"/>
    <s v="12"/>
    <s v="Business"/>
    <s v="Rawalpindi"/>
    <s v="Unknown Location"/>
    <n v="103"/>
    <s v="Meeting"/>
  </r>
  <r>
    <n v="1095"/>
    <d v="2016-12-22T19:04:00"/>
    <x v="11"/>
    <d v="2016-12-22T19:50:00"/>
    <s v="12"/>
    <s v="Business"/>
    <s v="Unknown Location"/>
    <s v="Lahore"/>
    <n v="14"/>
    <s v="Meeting"/>
  </r>
  <r>
    <n v="1096"/>
    <d v="2016-12-22T21:41:00"/>
    <x v="11"/>
    <d v="2016-12-22T21:53:00"/>
    <s v="12"/>
    <s v="Business"/>
    <s v="Lahore"/>
    <s v="Lahore"/>
    <n v="2.1"/>
    <s v="Meal/Entertain"/>
  </r>
  <r>
    <n v="1097"/>
    <d v="2016-12-22T23:27:00"/>
    <x v="11"/>
    <d v="2016-12-22T23:32:00"/>
    <s v="12"/>
    <s v="Business"/>
    <s v="Lahore"/>
    <s v="Lahore"/>
    <n v="2.1"/>
    <s v="Customer Visit"/>
  </r>
  <r>
    <n v="1098"/>
    <d v="2016-12-23T09:21:00"/>
    <x v="11"/>
    <d v="2016-12-23T09:41:00"/>
    <s v="12"/>
    <s v="Business"/>
    <s v="Lahore"/>
    <s v="Lahore"/>
    <n v="3"/>
    <s v="Meeting"/>
  </r>
  <r>
    <n v="1099"/>
    <d v="2016-12-23T11:33:00"/>
    <x v="11"/>
    <d v="2016-12-23T11:58:00"/>
    <s v="12"/>
    <s v="Business"/>
    <s v="Lahore"/>
    <s v="Unknown Location"/>
    <n v="6.2"/>
    <s v="Meeting"/>
  </r>
  <r>
    <n v="1102"/>
    <d v="2016-12-23T17:34:00"/>
    <x v="11"/>
    <d v="2016-12-23T18:27:00"/>
    <s v="12"/>
    <s v="Business"/>
    <s v="Unknown Location"/>
    <s v="Lahore"/>
    <n v="7.1"/>
    <s v="Meal/Entertain"/>
  </r>
  <r>
    <n v="1103"/>
    <d v="2016-12-24T07:43:00"/>
    <x v="11"/>
    <d v="2016-12-24T08:04:00"/>
    <s v="12"/>
    <s v="Business"/>
    <s v="Lahore"/>
    <s v="Unknown Location"/>
    <n v="6.3"/>
    <s v="Meal/Entertain"/>
  </r>
  <r>
    <n v="1104"/>
    <d v="2016-12-24T09:19:00"/>
    <x v="11"/>
    <d v="2016-12-24T09:55:00"/>
    <s v="12"/>
    <s v="Business"/>
    <s v="Unknown Location"/>
    <s v="Lahore"/>
    <n v="10.7"/>
    <s v="Meal/Entertain"/>
  </r>
  <r>
    <n v="1105"/>
    <d v="2016-12-24T10:34:00"/>
    <x v="11"/>
    <d v="2016-12-24T10:53:00"/>
    <s v="12"/>
    <s v="Business"/>
    <s v="Lahore"/>
    <s v="Lahore"/>
    <n v="5.3"/>
    <s v="Meal/Entertain"/>
  </r>
  <r>
    <n v="1106"/>
    <d v="2016-12-24T12:51:00"/>
    <x v="11"/>
    <d v="2016-12-24T12:53:00"/>
    <s v="12"/>
    <s v="Business"/>
    <s v="Lahore"/>
    <s v="Lahore"/>
    <n v="1.6"/>
    <s v="Errand/Supplies"/>
  </r>
  <r>
    <n v="1107"/>
    <d v="2016-12-24T13:08:00"/>
    <x v="11"/>
    <d v="2016-12-24T13:29:00"/>
    <s v="12"/>
    <s v="Business"/>
    <s v="Lahore"/>
    <s v="Lahore"/>
    <n v="3.6"/>
    <s v="Errand/Supplies"/>
  </r>
  <r>
    <n v="1108"/>
    <d v="2016-12-24T17:12:00"/>
    <x v="11"/>
    <d v="2016-12-24T17:27:00"/>
    <s v="12"/>
    <s v="Business"/>
    <s v="Lahore"/>
    <s v="Lahore"/>
    <n v="1.7"/>
    <s v="Errand/Supplies"/>
  </r>
  <r>
    <n v="1109"/>
    <d v="2016-12-24T19:12:00"/>
    <x v="11"/>
    <d v="2016-12-24T19:27:00"/>
    <s v="12"/>
    <s v="Business"/>
    <s v="Lahore"/>
    <s v="Lahore"/>
    <n v="2.9"/>
    <s v="Meal/Entertain"/>
  </r>
  <r>
    <n v="1110"/>
    <d v="2016-12-24T22:04:00"/>
    <x v="11"/>
    <d v="2016-12-24T22:09:00"/>
    <s v="12"/>
    <s v="Business"/>
    <s v="Lahore"/>
    <s v="Lahore"/>
    <n v="0.6"/>
    <s v="Errand/Supplies"/>
  </r>
  <r>
    <n v="1111"/>
    <d v="2016-12-25T00:10:00"/>
    <x v="11"/>
    <d v="2016-12-25T00:14:00"/>
    <s v="12"/>
    <s v="Business"/>
    <s v="Lahore"/>
    <s v="Lahore"/>
    <n v="0.6"/>
    <s v="Errand/Supplies"/>
  </r>
  <r>
    <n v="1112"/>
    <d v="2016-12-25T19:15:00"/>
    <x v="11"/>
    <d v="2016-12-25T19:26:00"/>
    <s v="12"/>
    <s v="Business"/>
    <s v="Lahore"/>
    <s v="Lahore"/>
    <n v="2.2999999999999998"/>
    <s v="Meal/Entertain"/>
  </r>
  <r>
    <n v="1113"/>
    <d v="2016-12-25T21:58:00"/>
    <x v="11"/>
    <d v="2016-12-25T22:04:00"/>
    <s v="12"/>
    <s v="Business"/>
    <s v="Lahore"/>
    <s v="Lahore"/>
    <n v="2.2999999999999998"/>
    <s v="Meal/Entertain"/>
  </r>
  <r>
    <n v="1114"/>
    <d v="2016-12-26T08:30:00"/>
    <x v="11"/>
    <d v="2016-12-26T08:41:00"/>
    <s v="12"/>
    <s v="Business"/>
    <s v="Lahore"/>
    <s v="Lahore"/>
    <n v="3.2"/>
    <s v="Meal/Entertain"/>
  </r>
  <r>
    <n v="1115"/>
    <d v="2016-12-26T09:05:00"/>
    <x v="11"/>
    <d v="2016-12-26T09:19:00"/>
    <s v="12"/>
    <s v="Business"/>
    <s v="Lahore"/>
    <s v="Lahore"/>
    <n v="6.2"/>
    <s v="Customer Visit"/>
  </r>
  <r>
    <n v="1116"/>
    <d v="2016-12-26T10:15:00"/>
    <x v="11"/>
    <d v="2016-12-26T10:36:00"/>
    <s v="12"/>
    <s v="Business"/>
    <s v="Lahore"/>
    <s v="Lahore"/>
    <n v="7.7"/>
    <s v="Customer Visit"/>
  </r>
  <r>
    <n v="1117"/>
    <d v="2016-12-26T11:29:00"/>
    <x v="11"/>
    <d v="2016-12-26T11:42:00"/>
    <s v="12"/>
    <s v="Business"/>
    <s v="Lahore"/>
    <s v="Lahore"/>
    <n v="3.8"/>
    <s v="Customer Visit"/>
  </r>
  <r>
    <n v="1118"/>
    <d v="2016-12-26T13:09:00"/>
    <x v="11"/>
    <d v="2016-12-26T13:43:00"/>
    <s v="12"/>
    <s v="Business"/>
    <s v="Lahore"/>
    <s v="Unknown Location"/>
    <n v="7.9"/>
    <s v="Meeting"/>
  </r>
  <r>
    <n v="1119"/>
    <d v="2016-12-27T07:02:00"/>
    <x v="11"/>
    <d v="2016-12-27T07:14:00"/>
    <s v="12"/>
    <s v="Business"/>
    <s v="Kar?chi"/>
    <s v="Kar?chi"/>
    <n v="4.9000000000000004"/>
    <s v="Temporary Site"/>
  </r>
  <r>
    <n v="1120"/>
    <d v="2016-12-27T08:37:00"/>
    <x v="11"/>
    <d v="2016-12-27T08:59:00"/>
    <s v="12"/>
    <s v="Business"/>
    <s v="Kar?chi"/>
    <s v="Kar?chi"/>
    <n v="5"/>
    <s v="Meal/Entertain"/>
  </r>
  <r>
    <n v="1121"/>
    <d v="2016-12-27T12:53:00"/>
    <x v="11"/>
    <d v="2016-12-27T12:57:00"/>
    <s v="12"/>
    <s v="Business"/>
    <s v="Kar?chi"/>
    <s v="Kar?chi"/>
    <n v="0.6"/>
    <s v="Meal/Entertain"/>
  </r>
  <r>
    <n v="1122"/>
    <d v="2016-12-27T14:49:00"/>
    <x v="11"/>
    <d v="2016-12-27T15:03:00"/>
    <s v="12"/>
    <s v="Business"/>
    <s v="Kar?chi"/>
    <s v="Unknown Location"/>
    <n v="3.1"/>
    <s v="Customer Visit"/>
  </r>
  <r>
    <n v="1123"/>
    <d v="2016-12-27T16:34:00"/>
    <x v="11"/>
    <d v="2016-12-27T16:58:00"/>
    <s v="12"/>
    <s v="Business"/>
    <s v="Unknown Location"/>
    <s v="Kar?chi"/>
    <n v="7.9"/>
    <s v="Meeting"/>
  </r>
  <r>
    <n v="1124"/>
    <d v="2016-12-27T19:19:00"/>
    <x v="11"/>
    <d v="2016-12-27T19:50:00"/>
    <s v="12"/>
    <s v="Business"/>
    <s v="Kar?chi"/>
    <s v="Kar?chi"/>
    <n v="5.5"/>
    <s v="Customer Visit"/>
  </r>
  <r>
    <n v="1125"/>
    <d v="2016-12-28T08:34:00"/>
    <x v="11"/>
    <d v="2016-12-28T09:06:00"/>
    <s v="12"/>
    <s v="Business"/>
    <s v="Kar?chi"/>
    <s v="Unknown Location"/>
    <n v="10.3"/>
    <s v="Meal/Entertain"/>
  </r>
  <r>
    <n v="1126"/>
    <d v="2016-12-28T11:42:00"/>
    <x v="11"/>
    <d v="2016-12-28T12:12:00"/>
    <s v="12"/>
    <s v="Business"/>
    <s v="Unknown Location"/>
    <s v="Kar?chi"/>
    <n v="10.4"/>
    <s v="Errand/Supplies"/>
  </r>
  <r>
    <n v="1127"/>
    <d v="2016-12-28T13:53:00"/>
    <x v="11"/>
    <d v="2016-12-28T14:01:00"/>
    <s v="12"/>
    <s v="Business"/>
    <s v="Kar?chi"/>
    <s v="Kar?chi"/>
    <n v="2"/>
    <s v="Errand/Supplies"/>
  </r>
  <r>
    <n v="1128"/>
    <d v="2016-12-28T15:04:00"/>
    <x v="11"/>
    <d v="2016-12-28T15:39:00"/>
    <s v="12"/>
    <s v="Business"/>
    <s v="Kar?chi"/>
    <s v="Unknown Location"/>
    <n v="8.5"/>
    <s v="Meal/Entertain"/>
  </r>
  <r>
    <n v="1129"/>
    <d v="2016-12-28T17:02:00"/>
    <x v="11"/>
    <d v="2016-12-28T17:16:00"/>
    <s v="12"/>
    <s v="Business"/>
    <s v="Unknown Location"/>
    <s v="Kar?chi"/>
    <n v="4.4000000000000004"/>
    <s v="Errand/Supplies"/>
  </r>
  <r>
    <n v="1130"/>
    <d v="2016-12-28T18:33:00"/>
    <x v="11"/>
    <d v="2016-12-28T18:56:00"/>
    <s v="12"/>
    <s v="Business"/>
    <s v="Kar?chi"/>
    <s v="Kar?chi"/>
    <n v="3.8"/>
    <s v="Errand/Supplies"/>
  </r>
  <r>
    <n v="1131"/>
    <d v="2016-12-28T22:44:00"/>
    <x v="11"/>
    <d v="2016-12-28T23:18:00"/>
    <s v="12"/>
    <s v="Business"/>
    <s v="Kar?chi"/>
    <s v="Kar?chi"/>
    <n v="5.0999999999999996"/>
    <s v="Errand/Supplies"/>
  </r>
  <r>
    <n v="1132"/>
    <d v="2016-12-29T00:49:00"/>
    <x v="11"/>
    <d v="2016-12-29T01:06:00"/>
    <s v="12"/>
    <s v="Business"/>
    <s v="Kar?chi"/>
    <s v="Kar?chi"/>
    <n v="3.8"/>
    <s v="Errand/Supplies"/>
  </r>
  <r>
    <n v="1133"/>
    <d v="2016-12-29T09:44:00"/>
    <x v="11"/>
    <d v="2016-12-29T10:07:00"/>
    <s v="12"/>
    <s v="Business"/>
    <s v="Kar?chi"/>
    <s v="Unknown Location"/>
    <n v="11.6"/>
    <s v="Meal/Entertain"/>
  </r>
  <r>
    <n v="1134"/>
    <d v="2016-12-29T11:28:00"/>
    <x v="11"/>
    <d v="2016-12-29T12:00:00"/>
    <s v="12"/>
    <s v="Business"/>
    <s v="Unknown Location"/>
    <s v="Kar?chi"/>
    <n v="11.9"/>
    <s v="Meal/Entertain"/>
  </r>
  <r>
    <n v="1135"/>
    <d v="2016-12-29T12:25:00"/>
    <x v="11"/>
    <d v="2016-12-29T12:33:00"/>
    <s v="12"/>
    <s v="Business"/>
    <s v="Kar?chi"/>
    <s v="Kar?chi"/>
    <n v="1.4"/>
    <s v="Errand/Supplies"/>
  </r>
  <r>
    <n v="1136"/>
    <d v="2016-12-29T13:17:00"/>
    <x v="11"/>
    <d v="2016-12-29T13:24:00"/>
    <s v="12"/>
    <s v="Business"/>
    <s v="Kar?chi"/>
    <s v="Kar?chi"/>
    <n v="1.1000000000000001"/>
    <s v="Errand/Supplies"/>
  </r>
  <r>
    <n v="1137"/>
    <d v="2016-12-29T13:56:00"/>
    <x v="11"/>
    <d v="2016-12-29T14:11:00"/>
    <s v="12"/>
    <s v="Business"/>
    <s v="Kar?chi"/>
    <s v="Kar?chi"/>
    <n v="4.0999999999999996"/>
    <s v="Airport/Travel"/>
  </r>
  <r>
    <n v="1138"/>
    <d v="2016-12-29T14:42:00"/>
    <x v="11"/>
    <d v="2016-12-29T14:58:00"/>
    <s v="12"/>
    <s v="Business"/>
    <s v="Kar?chi"/>
    <s v="Kar?chi"/>
    <n v="6.1"/>
    <s v="Between Offices"/>
  </r>
  <r>
    <n v="1139"/>
    <d v="2016-12-29T15:05:00"/>
    <x v="11"/>
    <d v="2016-12-29T15:16:00"/>
    <s v="12"/>
    <s v="Business"/>
    <s v="Kar?chi"/>
    <s v="Kar?chi"/>
    <n v="1.3"/>
    <s v="Errand/Supplies"/>
  </r>
  <r>
    <n v="1140"/>
    <d v="2016-12-29T18:59:00"/>
    <x v="11"/>
    <d v="2016-12-29T19:14:00"/>
    <s v="12"/>
    <s v="Business"/>
    <s v="Kar?chi"/>
    <s v="Unknown Location"/>
    <n v="3"/>
    <s v="Meal/Entertain"/>
  </r>
  <r>
    <n v="1141"/>
    <d v="2016-12-29T19:50:00"/>
    <x v="11"/>
    <d v="2016-12-29T20:10:00"/>
    <s v="12"/>
    <s v="Business"/>
    <s v="Unknown Location"/>
    <s v="Kar?chi"/>
    <n v="4.0999999999999996"/>
    <s v="Customer Visit"/>
  </r>
  <r>
    <n v="1142"/>
    <d v="2016-12-29T20:15:00"/>
    <x v="11"/>
    <d v="2016-12-29T20:45:00"/>
    <s v="12"/>
    <s v="Business"/>
    <s v="Kar?chi"/>
    <s v="Kar?chi"/>
    <n v="7.2"/>
    <s v="Meeting"/>
  </r>
  <r>
    <n v="1143"/>
    <d v="2016-12-29T20:53:00"/>
    <x v="11"/>
    <d v="2016-12-29T21:42:00"/>
    <s v="12"/>
    <s v="Business"/>
    <s v="Kar?chi"/>
    <s v="Unknown Location"/>
    <n v="6.4"/>
    <m/>
  </r>
  <r>
    <n v="1144"/>
    <d v="2016-12-29T23:14:00"/>
    <x v="11"/>
    <d v="2016-12-29T23:47:00"/>
    <s v="12"/>
    <s v="Business"/>
    <s v="Unknown Location"/>
    <s v="Kar?chi"/>
    <n v="12.9"/>
    <s v="Meeting"/>
  </r>
  <r>
    <n v="1145"/>
    <d v="2016-12-30T10:15:00"/>
    <x v="11"/>
    <d v="2016-12-30T10:33:00"/>
    <s v="12"/>
    <s v="Business"/>
    <s v="Kar?chi"/>
    <s v="Kar?chi"/>
    <n v="2.8"/>
    <s v="Errand/Supplies"/>
  </r>
  <r>
    <n v="1146"/>
    <d v="2016-12-30T11:31:00"/>
    <x v="11"/>
    <d v="2016-12-30T11:56:00"/>
    <s v="12"/>
    <s v="Business"/>
    <s v="Kar?chi"/>
    <s v="Kar?chi"/>
    <n v="2.9"/>
    <s v="Errand/Supplies"/>
  </r>
  <r>
    <n v="1147"/>
    <d v="2016-12-30T15:41:00"/>
    <x v="11"/>
    <d v="2016-12-30T16:03:00"/>
    <s v="12"/>
    <s v="Business"/>
    <s v="Kar?chi"/>
    <s v="Kar?chi"/>
    <n v="4.5999999999999996"/>
    <s v="Errand/Supplies"/>
  </r>
  <r>
    <n v="1148"/>
    <d v="2016-12-30T16:45:00"/>
    <x v="11"/>
    <d v="2016-12-30T17:08:00"/>
    <s v="12"/>
    <s v="Business"/>
    <s v="Kar?chi"/>
    <s v="Kar?chi"/>
    <n v="4.5999999999999996"/>
    <s v="Meeting"/>
  </r>
  <r>
    <n v="1149"/>
    <d v="2016-12-30T23:06:00"/>
    <x v="11"/>
    <d v="2016-12-30T23:10:00"/>
    <s v="12"/>
    <s v="Business"/>
    <s v="Kar?chi"/>
    <s v="Kar?chi"/>
    <n v="0.8"/>
    <s v="Customer Visit"/>
  </r>
  <r>
    <n v="1150"/>
    <d v="2016-12-31T01:07:00"/>
    <x v="11"/>
    <d v="2016-12-31T01:14:00"/>
    <s v="12"/>
    <s v="Business"/>
    <s v="Kar?chi"/>
    <s v="Kar?chi"/>
    <n v="0.7"/>
    <s v="Meeting"/>
  </r>
  <r>
    <n v="1151"/>
    <d v="2016-12-31T13:24:00"/>
    <x v="11"/>
    <d v="2016-12-31T13:42:00"/>
    <s v="12"/>
    <s v="Business"/>
    <s v="Kar?chi"/>
    <s v="Unknown Location"/>
    <n v="3.9"/>
    <s v="Temporary Site"/>
  </r>
  <r>
    <n v="1153"/>
    <d v="2016-12-31T21:32:00"/>
    <x v="11"/>
    <d v="2016-12-31T21:50:00"/>
    <s v="12"/>
    <s v="Business"/>
    <s v="Katunayake"/>
    <s v="Gampaha"/>
    <n v="6.4"/>
    <s v="Temporary Site"/>
  </r>
  <r>
    <n v="1154"/>
    <d v="2016-12-31T22:08:00"/>
    <x v="11"/>
    <d v="2016-12-31T23:51:00"/>
    <s v="12"/>
    <s v="Business"/>
    <s v="Gampaha"/>
    <s v="Ilukwatta"/>
    <n v="48.2"/>
    <s v="Temporary Si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027C5-5AF4-4BEB-BD38-CA8AA82A24F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0">
    <pivotField showAll="0"/>
    <pivotField numFmtId="165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5"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MILES" fld="8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C591C-71CF-416D-A5B9-2A125149756A}" name="Table1" displayName="Table1" ref="A1:J1070" totalsRowShown="0" headerRowDxfId="0">
  <autoFilter ref="A1:J1070" xr:uid="{A6FC591C-71CF-416D-A5B9-2A12514975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A2C5625-01CC-46C6-ABB3-85C59A88FA30}" name="INDEX" dataDxfId="5"/>
    <tableColumn id="2" xr3:uid="{06A96651-EA34-41F6-B453-221F5F689774}" name="START_DATE" dataDxfId="4"/>
    <tableColumn id="3" xr3:uid="{C63D37E8-9BC2-4AB8-85E7-181484695FB7}" name="START_DATE_MONTH" dataDxfId="3">
      <calculatedColumnFormula xml:space="preserve"> TEXT(B2, "mm")</calculatedColumnFormula>
    </tableColumn>
    <tableColumn id="4" xr3:uid="{BFB0F1CF-6139-41F6-B643-51A6A717B0CB}" name="END_DATE" dataDxfId="2"/>
    <tableColumn id="5" xr3:uid="{B361AA59-5A1B-4831-9DE2-785AFBCC327E}" name="END_DATE_MONTH" dataDxfId="1">
      <calculatedColumnFormula xml:space="preserve"> TEXT(D2, "mm")</calculatedColumnFormula>
    </tableColumn>
    <tableColumn id="6" xr3:uid="{30AB64E3-3EB3-497D-A9A6-A2B81837BBB7}" name="CATEGORY"/>
    <tableColumn id="7" xr3:uid="{3DBE881C-3243-494A-900D-48552EDA86B4}" name="START"/>
    <tableColumn id="8" xr3:uid="{5931CF14-7793-4FF3-95DF-C1E117B3693E}" name="STOP"/>
    <tableColumn id="9" xr3:uid="{8559C59E-18DD-49E9-97E6-8FC735764E54}" name="MILES"/>
    <tableColumn id="10" xr3:uid="{07EC8347-4D5D-4A32-909B-D102F0DA6A24}" name="PURPOS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6D61-2072-4FC0-8BE3-CC16646AA0F7}">
  <dimension ref="A3:B16"/>
  <sheetViews>
    <sheetView tabSelected="1" workbookViewId="0">
      <selection activeCell="H13" sqref="H13"/>
    </sheetView>
  </sheetViews>
  <sheetFormatPr defaultRowHeight="15" x14ac:dyDescent="0.25"/>
  <cols>
    <col min="1" max="1" width="13.140625" bestFit="1" customWidth="1"/>
    <col min="2" max="2" width="16.42578125" bestFit="1" customWidth="1"/>
  </cols>
  <sheetData>
    <row r="3" spans="1:2" x14ac:dyDescent="0.25">
      <c r="A3" s="4" t="s">
        <v>243</v>
      </c>
      <c r="B3" t="s">
        <v>245</v>
      </c>
    </row>
    <row r="4" spans="1:2" x14ac:dyDescent="0.25">
      <c r="A4" s="5" t="s">
        <v>228</v>
      </c>
      <c r="B4" s="6">
        <v>8.4081967213114748</v>
      </c>
    </row>
    <row r="5" spans="1:2" x14ac:dyDescent="0.25">
      <c r="A5" s="5" t="s">
        <v>229</v>
      </c>
      <c r="B5" s="6">
        <v>7.557547169811321</v>
      </c>
    </row>
    <row r="6" spans="1:2" x14ac:dyDescent="0.25">
      <c r="A6" s="5" t="s">
        <v>230</v>
      </c>
      <c r="B6" s="6">
        <v>14.990265486725665</v>
      </c>
    </row>
    <row r="7" spans="1:2" x14ac:dyDescent="0.25">
      <c r="A7" s="5" t="s">
        <v>231</v>
      </c>
      <c r="B7" s="6">
        <v>20.611111111111114</v>
      </c>
    </row>
    <row r="8" spans="1:2" x14ac:dyDescent="0.25">
      <c r="A8" s="5" t="s">
        <v>232</v>
      </c>
      <c r="B8" s="6">
        <v>7.424489795918368</v>
      </c>
    </row>
    <row r="9" spans="1:2" x14ac:dyDescent="0.25">
      <c r="A9" s="5" t="s">
        <v>233</v>
      </c>
      <c r="B9" s="6">
        <v>7.803703703703702</v>
      </c>
    </row>
    <row r="10" spans="1:2" x14ac:dyDescent="0.25">
      <c r="A10" s="5" t="s">
        <v>234</v>
      </c>
      <c r="B10" s="6">
        <v>10.933928571428568</v>
      </c>
    </row>
    <row r="11" spans="1:2" x14ac:dyDescent="0.25">
      <c r="A11" s="5" t="s">
        <v>235</v>
      </c>
      <c r="B11" s="6">
        <v>7.1145631067961119</v>
      </c>
    </row>
    <row r="12" spans="1:2" x14ac:dyDescent="0.25">
      <c r="A12" s="5" t="s">
        <v>236</v>
      </c>
      <c r="B12" s="6">
        <v>13.583333333333334</v>
      </c>
    </row>
    <row r="13" spans="1:2" x14ac:dyDescent="0.25">
      <c r="A13" s="5" t="s">
        <v>237</v>
      </c>
      <c r="B13" s="6">
        <v>17.226000000000006</v>
      </c>
    </row>
    <row r="14" spans="1:2" x14ac:dyDescent="0.25">
      <c r="A14" s="5" t="s">
        <v>238</v>
      </c>
      <c r="B14" s="6">
        <v>6.6959016393442612</v>
      </c>
    </row>
    <row r="15" spans="1:2" x14ac:dyDescent="0.25">
      <c r="A15" s="5" t="s">
        <v>239</v>
      </c>
      <c r="B15" s="6">
        <v>6.3008130081300804</v>
      </c>
    </row>
    <row r="16" spans="1:2" x14ac:dyDescent="0.25">
      <c r="A16" s="5" t="s">
        <v>244</v>
      </c>
      <c r="B16" s="6">
        <v>10.143966323666968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0"/>
  <sheetViews>
    <sheetView topLeftCell="A2" workbookViewId="0"/>
  </sheetViews>
  <sheetFormatPr defaultRowHeight="15" x14ac:dyDescent="0.25"/>
  <cols>
    <col min="1" max="1" width="11" customWidth="1"/>
    <col min="2" max="2" width="18.28515625" bestFit="1" customWidth="1"/>
    <col min="3" max="3" width="24.85546875" bestFit="1" customWidth="1"/>
    <col min="4" max="4" width="18.28515625" bestFit="1" customWidth="1"/>
    <col min="5" max="5" width="23.140625" bestFit="1" customWidth="1"/>
    <col min="6" max="6" width="15.140625" bestFit="1" customWidth="1"/>
    <col min="7" max="7" width="25.140625" bestFit="1" customWidth="1"/>
    <col min="8" max="8" width="24.85546875" bestFit="1" customWidth="1"/>
    <col min="9" max="9" width="10.85546875" bestFit="1" customWidth="1"/>
    <col min="10" max="10" width="15.85546875" bestFit="1" customWidth="1"/>
  </cols>
  <sheetData>
    <row r="1" spans="1:15" x14ac:dyDescent="0.25">
      <c r="A1" t="s">
        <v>242</v>
      </c>
      <c r="B1" s="1" t="s">
        <v>0</v>
      </c>
      <c r="C1" s="1" t="s">
        <v>240</v>
      </c>
      <c r="D1" s="1" t="s">
        <v>1</v>
      </c>
      <c r="E1" s="1" t="s">
        <v>241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5" x14ac:dyDescent="0.25">
      <c r="A2" s="1">
        <v>0</v>
      </c>
      <c r="B2" s="2">
        <v>42370.882638888892</v>
      </c>
      <c r="C2" s="2" t="str">
        <f xml:space="preserve"> TEXT(B2, "mm")</f>
        <v>01</v>
      </c>
      <c r="D2" s="2">
        <v>42370.886805555558</v>
      </c>
      <c r="E2" s="2" t="str">
        <f xml:space="preserve"> TEXT(D2, "mm")</f>
        <v>01</v>
      </c>
      <c r="F2" t="s">
        <v>7</v>
      </c>
      <c r="G2" t="s">
        <v>8</v>
      </c>
      <c r="H2" t="s">
        <v>8</v>
      </c>
      <c r="I2">
        <v>5.0999999999999996</v>
      </c>
      <c r="J2" t="s">
        <v>9</v>
      </c>
    </row>
    <row r="3" spans="1:15" x14ac:dyDescent="0.25">
      <c r="A3" s="1">
        <v>1</v>
      </c>
      <c r="B3" s="2">
        <v>42371.059027777781</v>
      </c>
      <c r="C3" s="2" t="str">
        <f t="shared" ref="C3:E66" si="0" xml:space="preserve"> TEXT(B3, "mm")</f>
        <v>01</v>
      </c>
      <c r="D3" s="2">
        <v>42371.067361111112</v>
      </c>
      <c r="E3" s="2" t="str">
        <f t="shared" si="0"/>
        <v>01</v>
      </c>
      <c r="F3" t="s">
        <v>7</v>
      </c>
      <c r="G3" t="s">
        <v>8</v>
      </c>
      <c r="H3" t="s">
        <v>8</v>
      </c>
      <c r="I3">
        <v>5</v>
      </c>
      <c r="M3" s="3" t="s">
        <v>228</v>
      </c>
      <c r="N3">
        <f xml:space="preserve"> COUNTIF($C$2:$C$1070, "="&amp;M3)</f>
        <v>61</v>
      </c>
      <c r="O3">
        <f xml:space="preserve"> N3/$N$15</f>
        <v>5.7062675397567819E-2</v>
      </c>
    </row>
    <row r="4" spans="1:15" x14ac:dyDescent="0.25">
      <c r="A4" s="1">
        <v>2</v>
      </c>
      <c r="B4" s="2">
        <v>42371.850694444453</v>
      </c>
      <c r="C4" s="2" t="str">
        <f t="shared" si="0"/>
        <v>01</v>
      </c>
      <c r="D4" s="2">
        <v>42371.859722222223</v>
      </c>
      <c r="E4" s="2" t="str">
        <f t="shared" si="0"/>
        <v>01</v>
      </c>
      <c r="F4" t="s">
        <v>7</v>
      </c>
      <c r="G4" t="s">
        <v>8</v>
      </c>
      <c r="H4" t="s">
        <v>8</v>
      </c>
      <c r="I4">
        <v>4.8</v>
      </c>
      <c r="J4" t="s">
        <v>10</v>
      </c>
      <c r="M4" t="s">
        <v>229</v>
      </c>
      <c r="N4">
        <f t="shared" ref="N4:N14" si="1" xml:space="preserve"> COUNTIF($C$2:$C$1070, "="&amp;M4)</f>
        <v>106</v>
      </c>
      <c r="O4">
        <f t="shared" ref="O4:O14" si="2" xml:space="preserve"> N4/$N$15</f>
        <v>9.9158091674462115E-2</v>
      </c>
    </row>
    <row r="5" spans="1:15" x14ac:dyDescent="0.25">
      <c r="A5" s="1">
        <v>3</v>
      </c>
      <c r="B5" s="2">
        <v>42374.729861111111</v>
      </c>
      <c r="C5" s="2" t="str">
        <f t="shared" si="0"/>
        <v>01</v>
      </c>
      <c r="D5" s="2">
        <v>42374.739583333343</v>
      </c>
      <c r="E5" s="2" t="str">
        <f t="shared" si="0"/>
        <v>01</v>
      </c>
      <c r="F5" t="s">
        <v>7</v>
      </c>
      <c r="G5" t="s">
        <v>8</v>
      </c>
      <c r="H5" t="s">
        <v>8</v>
      </c>
      <c r="I5">
        <v>4.7</v>
      </c>
      <c r="J5" t="s">
        <v>11</v>
      </c>
      <c r="M5" t="s">
        <v>230</v>
      </c>
      <c r="N5">
        <f t="shared" si="1"/>
        <v>113</v>
      </c>
      <c r="O5">
        <f t="shared" si="2"/>
        <v>0.10570626753975679</v>
      </c>
    </row>
    <row r="6" spans="1:15" x14ac:dyDescent="0.25">
      <c r="A6" s="1">
        <v>4</v>
      </c>
      <c r="B6" s="2">
        <v>42375.612500000003</v>
      </c>
      <c r="C6" s="2" t="str">
        <f t="shared" si="0"/>
        <v>01</v>
      </c>
      <c r="D6" s="2">
        <v>42375.65902777778</v>
      </c>
      <c r="E6" s="2" t="str">
        <f t="shared" si="0"/>
        <v>01</v>
      </c>
      <c r="F6" t="s">
        <v>7</v>
      </c>
      <c r="G6" t="s">
        <v>8</v>
      </c>
      <c r="H6" t="s">
        <v>12</v>
      </c>
      <c r="I6">
        <v>63.7</v>
      </c>
      <c r="J6" t="s">
        <v>13</v>
      </c>
      <c r="M6" t="s">
        <v>231</v>
      </c>
      <c r="N6">
        <f t="shared" si="1"/>
        <v>54</v>
      </c>
      <c r="O6">
        <f t="shared" si="2"/>
        <v>5.0514499532273154E-2</v>
      </c>
    </row>
    <row r="7" spans="1:15" x14ac:dyDescent="0.25">
      <c r="A7" s="1">
        <v>5</v>
      </c>
      <c r="B7" s="2">
        <v>42375.71875</v>
      </c>
      <c r="C7" s="2" t="str">
        <f t="shared" si="0"/>
        <v>01</v>
      </c>
      <c r="D7" s="2">
        <v>42375.72152777778</v>
      </c>
      <c r="E7" s="2" t="str">
        <f t="shared" si="0"/>
        <v>01</v>
      </c>
      <c r="F7" t="s">
        <v>7</v>
      </c>
      <c r="G7" t="s">
        <v>12</v>
      </c>
      <c r="H7" t="s">
        <v>12</v>
      </c>
      <c r="I7">
        <v>4.3</v>
      </c>
      <c r="J7" t="s">
        <v>9</v>
      </c>
      <c r="M7" t="s">
        <v>232</v>
      </c>
      <c r="N7">
        <f t="shared" si="1"/>
        <v>49</v>
      </c>
      <c r="O7">
        <f t="shared" si="2"/>
        <v>4.5837231057062673E-2</v>
      </c>
    </row>
    <row r="8" spans="1:15" x14ac:dyDescent="0.25">
      <c r="A8" s="1">
        <v>6</v>
      </c>
      <c r="B8" s="2">
        <v>42375.729166666657</v>
      </c>
      <c r="C8" s="2" t="str">
        <f t="shared" si="0"/>
        <v>01</v>
      </c>
      <c r="D8" s="2">
        <v>42375.732638888891</v>
      </c>
      <c r="E8" s="2" t="str">
        <f t="shared" si="0"/>
        <v>01</v>
      </c>
      <c r="F8" t="s">
        <v>7</v>
      </c>
      <c r="G8" t="s">
        <v>12</v>
      </c>
      <c r="H8" t="s">
        <v>14</v>
      </c>
      <c r="I8">
        <v>7.1</v>
      </c>
      <c r="J8" t="s">
        <v>11</v>
      </c>
      <c r="M8" t="s">
        <v>233</v>
      </c>
      <c r="N8">
        <f t="shared" si="1"/>
        <v>108</v>
      </c>
      <c r="O8">
        <f t="shared" si="2"/>
        <v>0.10102899906454631</v>
      </c>
    </row>
    <row r="9" spans="1:15" x14ac:dyDescent="0.25">
      <c r="A9" s="1">
        <v>7</v>
      </c>
      <c r="B9" s="2">
        <v>42376.560416666667</v>
      </c>
      <c r="C9" s="2" t="str">
        <f t="shared" si="0"/>
        <v>01</v>
      </c>
      <c r="D9" s="2">
        <v>42376.564583333333</v>
      </c>
      <c r="E9" s="2" t="str">
        <f t="shared" si="0"/>
        <v>01</v>
      </c>
      <c r="F9" t="s">
        <v>7</v>
      </c>
      <c r="G9" t="s">
        <v>15</v>
      </c>
      <c r="H9" t="s">
        <v>15</v>
      </c>
      <c r="I9">
        <v>0.8</v>
      </c>
      <c r="J9" t="s">
        <v>11</v>
      </c>
      <c r="M9" t="s">
        <v>234</v>
      </c>
      <c r="N9">
        <f t="shared" si="1"/>
        <v>112</v>
      </c>
      <c r="O9">
        <f t="shared" si="2"/>
        <v>0.10477081384471469</v>
      </c>
    </row>
    <row r="10" spans="1:15" x14ac:dyDescent="0.25">
      <c r="A10" s="1">
        <v>8</v>
      </c>
      <c r="B10" s="2">
        <v>42379.336805555547</v>
      </c>
      <c r="C10" s="2" t="str">
        <f t="shared" si="0"/>
        <v>01</v>
      </c>
      <c r="D10" s="2">
        <v>42379.350694444453</v>
      </c>
      <c r="E10" s="2" t="str">
        <f t="shared" si="0"/>
        <v>01</v>
      </c>
      <c r="F10" t="s">
        <v>7</v>
      </c>
      <c r="G10" t="s">
        <v>15</v>
      </c>
      <c r="H10" t="s">
        <v>16</v>
      </c>
      <c r="I10">
        <v>8.3000000000000007</v>
      </c>
      <c r="J10" t="s">
        <v>11</v>
      </c>
      <c r="M10" t="s">
        <v>235</v>
      </c>
      <c r="N10">
        <f t="shared" si="1"/>
        <v>103</v>
      </c>
      <c r="O10">
        <f t="shared" si="2"/>
        <v>9.6351730589335827E-2</v>
      </c>
    </row>
    <row r="11" spans="1:15" x14ac:dyDescent="0.25">
      <c r="A11" s="1">
        <v>9</v>
      </c>
      <c r="B11" s="2">
        <v>42379.511805555558</v>
      </c>
      <c r="C11" s="2" t="str">
        <f t="shared" si="0"/>
        <v>01</v>
      </c>
      <c r="D11" s="2">
        <v>42379.530555555553</v>
      </c>
      <c r="E11" s="2" t="str">
        <f t="shared" si="0"/>
        <v>01</v>
      </c>
      <c r="F11" t="s">
        <v>7</v>
      </c>
      <c r="G11" t="s">
        <v>17</v>
      </c>
      <c r="H11" t="s">
        <v>18</v>
      </c>
      <c r="I11">
        <v>16.5</v>
      </c>
      <c r="J11" t="s">
        <v>13</v>
      </c>
      <c r="M11" t="s">
        <v>236</v>
      </c>
      <c r="N11">
        <f t="shared" si="1"/>
        <v>18</v>
      </c>
      <c r="O11">
        <f t="shared" si="2"/>
        <v>1.6838166510757719E-2</v>
      </c>
    </row>
    <row r="12" spans="1:15" x14ac:dyDescent="0.25">
      <c r="A12" s="1">
        <v>10</v>
      </c>
      <c r="B12" s="2">
        <v>42379.630555555559</v>
      </c>
      <c r="C12" s="2" t="str">
        <f t="shared" si="0"/>
        <v>01</v>
      </c>
      <c r="D12" s="2">
        <v>42379.660416666673</v>
      </c>
      <c r="E12" s="2" t="str">
        <f t="shared" si="0"/>
        <v>01</v>
      </c>
      <c r="F12" t="s">
        <v>7</v>
      </c>
      <c r="G12" t="s">
        <v>18</v>
      </c>
      <c r="H12" t="s">
        <v>19</v>
      </c>
      <c r="I12">
        <v>10.8</v>
      </c>
      <c r="J12" t="s">
        <v>11</v>
      </c>
      <c r="M12" t="s">
        <v>237</v>
      </c>
      <c r="N12">
        <f t="shared" si="1"/>
        <v>100</v>
      </c>
      <c r="O12">
        <f t="shared" si="2"/>
        <v>9.3545369504209538E-2</v>
      </c>
    </row>
    <row r="13" spans="1:15" x14ac:dyDescent="0.25">
      <c r="A13" s="1">
        <v>11</v>
      </c>
      <c r="B13" s="2">
        <v>42379.762499999997</v>
      </c>
      <c r="C13" s="2" t="str">
        <f t="shared" si="0"/>
        <v>01</v>
      </c>
      <c r="D13" s="2">
        <v>42379.786805555559</v>
      </c>
      <c r="E13" s="2" t="str">
        <f t="shared" si="0"/>
        <v>01</v>
      </c>
      <c r="F13" t="s">
        <v>7</v>
      </c>
      <c r="G13" t="s">
        <v>20</v>
      </c>
      <c r="H13" t="s">
        <v>18</v>
      </c>
      <c r="I13">
        <v>7.5</v>
      </c>
      <c r="J13" t="s">
        <v>11</v>
      </c>
      <c r="M13" t="s">
        <v>238</v>
      </c>
      <c r="N13">
        <f t="shared" si="1"/>
        <v>122</v>
      </c>
      <c r="O13">
        <f t="shared" si="2"/>
        <v>0.11412535079513564</v>
      </c>
    </row>
    <row r="14" spans="1:15" x14ac:dyDescent="0.25">
      <c r="A14" s="1">
        <v>12</v>
      </c>
      <c r="B14" s="2">
        <v>42379.8</v>
      </c>
      <c r="C14" s="2" t="str">
        <f t="shared" si="0"/>
        <v>01</v>
      </c>
      <c r="D14" s="2">
        <v>42379.813888888893</v>
      </c>
      <c r="E14" s="2" t="str">
        <f t="shared" si="0"/>
        <v>01</v>
      </c>
      <c r="F14" t="s">
        <v>7</v>
      </c>
      <c r="G14" t="s">
        <v>21</v>
      </c>
      <c r="H14" t="s">
        <v>22</v>
      </c>
      <c r="I14">
        <v>6.2</v>
      </c>
      <c r="J14" t="s">
        <v>11</v>
      </c>
      <c r="M14" t="s">
        <v>239</v>
      </c>
      <c r="N14">
        <f t="shared" si="1"/>
        <v>123</v>
      </c>
      <c r="O14">
        <f t="shared" si="2"/>
        <v>0.11506080449017773</v>
      </c>
    </row>
    <row r="15" spans="1:15" x14ac:dyDescent="0.25">
      <c r="A15" s="1">
        <v>13</v>
      </c>
      <c r="B15" s="2">
        <v>42380.371527777781</v>
      </c>
      <c r="C15" s="2" t="str">
        <f t="shared" si="0"/>
        <v>01</v>
      </c>
      <c r="D15" s="2">
        <v>42380.38958333333</v>
      </c>
      <c r="E15" s="2" t="str">
        <f t="shared" si="0"/>
        <v>01</v>
      </c>
      <c r="F15" t="s">
        <v>7</v>
      </c>
      <c r="G15" t="s">
        <v>22</v>
      </c>
      <c r="H15" t="s">
        <v>23</v>
      </c>
      <c r="I15">
        <v>6.4</v>
      </c>
      <c r="J15" t="s">
        <v>24</v>
      </c>
      <c r="N15">
        <f xml:space="preserve"> SUM($N$3:$N$14)</f>
        <v>1069</v>
      </c>
    </row>
    <row r="16" spans="1:15" x14ac:dyDescent="0.25">
      <c r="A16" s="1">
        <v>14</v>
      </c>
      <c r="B16" s="2">
        <v>42380.49722222222</v>
      </c>
      <c r="C16" s="2" t="str">
        <f t="shared" si="0"/>
        <v>01</v>
      </c>
      <c r="D16" s="2">
        <v>42380.502083333333</v>
      </c>
      <c r="E16" s="2" t="str">
        <f t="shared" si="0"/>
        <v>01</v>
      </c>
      <c r="F16" t="s">
        <v>7</v>
      </c>
      <c r="G16" t="s">
        <v>25</v>
      </c>
      <c r="H16" t="s">
        <v>21</v>
      </c>
      <c r="I16">
        <v>1.6</v>
      </c>
      <c r="J16" t="s">
        <v>10</v>
      </c>
    </row>
    <row r="17" spans="1:10" x14ac:dyDescent="0.25">
      <c r="A17" s="1">
        <v>15</v>
      </c>
      <c r="B17" s="2">
        <v>42380.563888888893</v>
      </c>
      <c r="C17" s="2" t="str">
        <f t="shared" si="0"/>
        <v>01</v>
      </c>
      <c r="D17" s="2">
        <v>42380.573611111111</v>
      </c>
      <c r="E17" s="2" t="str">
        <f t="shared" si="0"/>
        <v>01</v>
      </c>
      <c r="F17" t="s">
        <v>7</v>
      </c>
      <c r="G17" t="s">
        <v>21</v>
      </c>
      <c r="H17" t="s">
        <v>26</v>
      </c>
      <c r="I17">
        <v>1.7</v>
      </c>
      <c r="J17" t="s">
        <v>9</v>
      </c>
    </row>
    <row r="18" spans="1:10" x14ac:dyDescent="0.25">
      <c r="A18" s="1">
        <v>16</v>
      </c>
      <c r="B18" s="2">
        <v>42380.604166666657</v>
      </c>
      <c r="C18" s="2" t="str">
        <f t="shared" si="0"/>
        <v>01</v>
      </c>
      <c r="D18" s="2">
        <v>42380.613194444442</v>
      </c>
      <c r="E18" s="2" t="str">
        <f t="shared" si="0"/>
        <v>01</v>
      </c>
      <c r="F18" t="s">
        <v>7</v>
      </c>
      <c r="G18" t="s">
        <v>26</v>
      </c>
      <c r="H18" t="s">
        <v>21</v>
      </c>
      <c r="I18">
        <v>1.9</v>
      </c>
      <c r="J18" t="s">
        <v>9</v>
      </c>
    </row>
    <row r="19" spans="1:10" x14ac:dyDescent="0.25">
      <c r="A19" s="1">
        <v>17</v>
      </c>
      <c r="B19" s="2">
        <v>42381.522916666669</v>
      </c>
      <c r="C19" s="2" t="str">
        <f t="shared" si="0"/>
        <v>01</v>
      </c>
      <c r="D19" s="2">
        <v>42381.53402777778</v>
      </c>
      <c r="E19" s="2" t="str">
        <f t="shared" si="0"/>
        <v>01</v>
      </c>
      <c r="F19" t="s">
        <v>7</v>
      </c>
      <c r="G19" t="s">
        <v>21</v>
      </c>
      <c r="H19" t="s">
        <v>27</v>
      </c>
      <c r="I19">
        <v>1.9</v>
      </c>
      <c r="J19" t="s">
        <v>9</v>
      </c>
    </row>
    <row r="20" spans="1:10" x14ac:dyDescent="0.25">
      <c r="A20" s="1">
        <v>18</v>
      </c>
      <c r="B20" s="2">
        <v>42381.536805555559</v>
      </c>
      <c r="C20" s="2" t="str">
        <f t="shared" si="0"/>
        <v>01</v>
      </c>
      <c r="D20" s="2">
        <v>42381.54791666667</v>
      </c>
      <c r="E20" s="2" t="str">
        <f t="shared" si="0"/>
        <v>01</v>
      </c>
      <c r="F20" t="s">
        <v>7</v>
      </c>
      <c r="G20" t="s">
        <v>27</v>
      </c>
      <c r="H20" t="s">
        <v>28</v>
      </c>
      <c r="I20">
        <v>4</v>
      </c>
      <c r="J20" t="s">
        <v>9</v>
      </c>
    </row>
    <row r="21" spans="1:10" x14ac:dyDescent="0.25">
      <c r="A21" s="1">
        <v>19</v>
      </c>
      <c r="B21" s="2">
        <v>42381.612500000003</v>
      </c>
      <c r="C21" s="2" t="str">
        <f t="shared" si="0"/>
        <v>01</v>
      </c>
      <c r="D21" s="2">
        <v>42381.62222222222</v>
      </c>
      <c r="E21" s="2" t="str">
        <f t="shared" si="0"/>
        <v>01</v>
      </c>
      <c r="F21" t="s">
        <v>7</v>
      </c>
      <c r="G21" t="s">
        <v>28</v>
      </c>
      <c r="H21" t="s">
        <v>27</v>
      </c>
      <c r="I21">
        <v>1.8</v>
      </c>
      <c r="J21" t="s">
        <v>10</v>
      </c>
    </row>
    <row r="22" spans="1:10" x14ac:dyDescent="0.25">
      <c r="A22" s="1">
        <v>20</v>
      </c>
      <c r="B22" s="2">
        <v>42381.634027777778</v>
      </c>
      <c r="C22" s="2" t="str">
        <f t="shared" si="0"/>
        <v>01</v>
      </c>
      <c r="D22" s="2">
        <v>42381.644444444442</v>
      </c>
      <c r="E22" s="2" t="str">
        <f t="shared" si="0"/>
        <v>01</v>
      </c>
      <c r="F22" t="s">
        <v>7</v>
      </c>
      <c r="G22" t="s">
        <v>27</v>
      </c>
      <c r="H22" t="s">
        <v>29</v>
      </c>
      <c r="I22">
        <v>2.4</v>
      </c>
      <c r="J22" t="s">
        <v>13</v>
      </c>
    </row>
    <row r="23" spans="1:10" x14ac:dyDescent="0.25">
      <c r="A23" s="1">
        <v>21</v>
      </c>
      <c r="B23" s="2">
        <v>42381.654166666667</v>
      </c>
      <c r="C23" s="2" t="str">
        <f t="shared" si="0"/>
        <v>01</v>
      </c>
      <c r="D23" s="2">
        <v>42381.662499999999</v>
      </c>
      <c r="E23" s="2" t="str">
        <f t="shared" si="0"/>
        <v>01</v>
      </c>
      <c r="F23" t="s">
        <v>7</v>
      </c>
      <c r="G23" t="s">
        <v>29</v>
      </c>
      <c r="H23" t="s">
        <v>21</v>
      </c>
      <c r="I23">
        <v>2</v>
      </c>
      <c r="J23" t="s">
        <v>10</v>
      </c>
    </row>
    <row r="24" spans="1:10" x14ac:dyDescent="0.25">
      <c r="A24" s="1">
        <v>22</v>
      </c>
      <c r="B24" s="2">
        <v>42381.668055555558</v>
      </c>
      <c r="C24" s="2" t="str">
        <f t="shared" si="0"/>
        <v>01</v>
      </c>
      <c r="D24" s="2">
        <v>42381.708333333343</v>
      </c>
      <c r="E24" s="2" t="str">
        <f t="shared" si="0"/>
        <v>01</v>
      </c>
      <c r="F24" t="s">
        <v>7</v>
      </c>
      <c r="G24" t="s">
        <v>18</v>
      </c>
      <c r="H24" t="s">
        <v>30</v>
      </c>
      <c r="I24">
        <v>15.1</v>
      </c>
      <c r="J24" t="s">
        <v>11</v>
      </c>
    </row>
    <row r="25" spans="1:10" x14ac:dyDescent="0.25">
      <c r="A25" s="1">
        <v>23</v>
      </c>
      <c r="B25" s="2">
        <v>42382.57916666667</v>
      </c>
      <c r="C25" s="2" t="str">
        <f t="shared" si="0"/>
        <v>01</v>
      </c>
      <c r="D25" s="2">
        <v>42382.588194444441</v>
      </c>
      <c r="E25" s="2" t="str">
        <f t="shared" si="0"/>
        <v>01</v>
      </c>
      <c r="F25" t="s">
        <v>7</v>
      </c>
      <c r="G25" t="s">
        <v>31</v>
      </c>
      <c r="H25" t="s">
        <v>32</v>
      </c>
      <c r="I25">
        <v>11.2</v>
      </c>
      <c r="J25" t="s">
        <v>11</v>
      </c>
    </row>
    <row r="26" spans="1:10" x14ac:dyDescent="0.25">
      <c r="A26" s="1">
        <v>24</v>
      </c>
      <c r="B26" s="2">
        <v>42382.625</v>
      </c>
      <c r="C26" s="2" t="str">
        <f t="shared" si="0"/>
        <v>01</v>
      </c>
      <c r="D26" s="2">
        <v>42382.644444444442</v>
      </c>
      <c r="E26" s="2" t="str">
        <f t="shared" si="0"/>
        <v>01</v>
      </c>
      <c r="F26" t="s">
        <v>7</v>
      </c>
      <c r="G26" t="s">
        <v>32</v>
      </c>
      <c r="H26" t="s">
        <v>31</v>
      </c>
      <c r="I26">
        <v>11.8</v>
      </c>
      <c r="J26" t="s">
        <v>11</v>
      </c>
    </row>
    <row r="27" spans="1:10" x14ac:dyDescent="0.25">
      <c r="A27" s="1">
        <v>25</v>
      </c>
      <c r="B27" s="2">
        <v>42383.686805555553</v>
      </c>
      <c r="C27" s="2" t="str">
        <f t="shared" si="0"/>
        <v>01</v>
      </c>
      <c r="D27" s="2">
        <v>42383.711805555547</v>
      </c>
      <c r="E27" s="2" t="str">
        <f t="shared" si="0"/>
        <v>01</v>
      </c>
      <c r="F27" t="s">
        <v>7</v>
      </c>
      <c r="G27" t="s">
        <v>33</v>
      </c>
      <c r="H27" t="s">
        <v>33</v>
      </c>
      <c r="I27">
        <v>21.9</v>
      </c>
      <c r="J27" t="s">
        <v>13</v>
      </c>
    </row>
    <row r="28" spans="1:10" x14ac:dyDescent="0.25">
      <c r="A28" s="1">
        <v>26</v>
      </c>
      <c r="B28" s="2">
        <v>42383.902083333327</v>
      </c>
      <c r="C28" s="2" t="str">
        <f t="shared" si="0"/>
        <v>01</v>
      </c>
      <c r="D28" s="2">
        <v>42383.90625</v>
      </c>
      <c r="E28" s="2" t="str">
        <f t="shared" si="0"/>
        <v>01</v>
      </c>
      <c r="F28" t="s">
        <v>7</v>
      </c>
      <c r="G28" t="s">
        <v>34</v>
      </c>
      <c r="H28" t="s">
        <v>35</v>
      </c>
      <c r="I28">
        <v>3.9</v>
      </c>
      <c r="J28" t="s">
        <v>10</v>
      </c>
    </row>
    <row r="29" spans="1:10" x14ac:dyDescent="0.25">
      <c r="A29" s="1">
        <v>27</v>
      </c>
      <c r="B29" s="2">
        <v>42384.02847222222</v>
      </c>
      <c r="C29" s="2" t="str">
        <f t="shared" si="0"/>
        <v>01</v>
      </c>
      <c r="D29" s="2">
        <v>42384.042361111111</v>
      </c>
      <c r="E29" s="2" t="str">
        <f t="shared" si="0"/>
        <v>01</v>
      </c>
      <c r="F29" t="s">
        <v>7</v>
      </c>
      <c r="G29" t="s">
        <v>16</v>
      </c>
      <c r="H29" t="s">
        <v>15</v>
      </c>
      <c r="I29">
        <v>8</v>
      </c>
      <c r="J29" t="s">
        <v>10</v>
      </c>
    </row>
    <row r="30" spans="1:10" x14ac:dyDescent="0.25">
      <c r="A30" s="1">
        <v>28</v>
      </c>
      <c r="B30" s="2">
        <v>42384.488194444442</v>
      </c>
      <c r="C30" s="2" t="str">
        <f t="shared" si="0"/>
        <v>01</v>
      </c>
      <c r="D30" s="2">
        <v>42384.502083333333</v>
      </c>
      <c r="E30" s="2" t="str">
        <f t="shared" si="0"/>
        <v>01</v>
      </c>
      <c r="F30" t="s">
        <v>7</v>
      </c>
      <c r="G30" t="s">
        <v>15</v>
      </c>
      <c r="H30" t="s">
        <v>36</v>
      </c>
      <c r="I30">
        <v>10.4</v>
      </c>
      <c r="J30" t="s">
        <v>9</v>
      </c>
    </row>
    <row r="31" spans="1:10" x14ac:dyDescent="0.25">
      <c r="A31" s="1">
        <v>29</v>
      </c>
      <c r="B31" s="2">
        <v>42384.55972222222</v>
      </c>
      <c r="C31" s="2" t="str">
        <f t="shared" si="0"/>
        <v>01</v>
      </c>
      <c r="D31" s="2">
        <v>42384.572222222218</v>
      </c>
      <c r="E31" s="2" t="str">
        <f t="shared" si="0"/>
        <v>01</v>
      </c>
      <c r="F31" t="s">
        <v>7</v>
      </c>
      <c r="G31" t="s">
        <v>36</v>
      </c>
      <c r="H31" t="s">
        <v>15</v>
      </c>
      <c r="I31">
        <v>10.4</v>
      </c>
      <c r="J31" t="s">
        <v>9</v>
      </c>
    </row>
    <row r="32" spans="1:10" x14ac:dyDescent="0.25">
      <c r="A32" s="1">
        <v>30</v>
      </c>
      <c r="B32" s="2">
        <v>42387.621527777781</v>
      </c>
      <c r="C32" s="2" t="str">
        <f t="shared" si="0"/>
        <v>01</v>
      </c>
      <c r="D32" s="2">
        <v>42387.629166666673</v>
      </c>
      <c r="E32" s="2" t="str">
        <f t="shared" si="0"/>
        <v>01</v>
      </c>
      <c r="F32" t="s">
        <v>7</v>
      </c>
      <c r="G32" t="s">
        <v>15</v>
      </c>
      <c r="H32" t="s">
        <v>15</v>
      </c>
      <c r="I32">
        <v>4.8</v>
      </c>
      <c r="J32" t="s">
        <v>9</v>
      </c>
    </row>
    <row r="33" spans="1:10" x14ac:dyDescent="0.25">
      <c r="A33" s="1">
        <v>31</v>
      </c>
      <c r="B33" s="2">
        <v>42387.675694444442</v>
      </c>
      <c r="C33" s="2" t="str">
        <f t="shared" si="0"/>
        <v>01</v>
      </c>
      <c r="D33" s="2">
        <v>42387.683333333327</v>
      </c>
      <c r="E33" s="2" t="str">
        <f t="shared" si="0"/>
        <v>01</v>
      </c>
      <c r="F33" t="s">
        <v>7</v>
      </c>
      <c r="G33" t="s">
        <v>37</v>
      </c>
      <c r="H33" t="s">
        <v>38</v>
      </c>
      <c r="I33">
        <v>4.7</v>
      </c>
      <c r="J33" t="s">
        <v>9</v>
      </c>
    </row>
    <row r="34" spans="1:10" x14ac:dyDescent="0.25">
      <c r="A34" s="1">
        <v>32</v>
      </c>
      <c r="B34" s="2">
        <v>42388.381249999999</v>
      </c>
      <c r="C34" s="2" t="str">
        <f t="shared" si="0"/>
        <v>01</v>
      </c>
      <c r="D34" s="2">
        <v>42388.390972222223</v>
      </c>
      <c r="E34" s="2" t="str">
        <f t="shared" si="0"/>
        <v>01</v>
      </c>
      <c r="F34" t="s">
        <v>7</v>
      </c>
      <c r="G34" t="s">
        <v>38</v>
      </c>
      <c r="H34" t="s">
        <v>39</v>
      </c>
      <c r="I34">
        <v>7.2</v>
      </c>
    </row>
    <row r="35" spans="1:10" x14ac:dyDescent="0.25">
      <c r="A35" s="1">
        <v>33</v>
      </c>
      <c r="B35" s="2">
        <v>42388.454861111109</v>
      </c>
      <c r="C35" s="2" t="str">
        <f t="shared" si="0"/>
        <v>01</v>
      </c>
      <c r="D35" s="2">
        <v>42388.464583333327</v>
      </c>
      <c r="E35" s="2" t="str">
        <f t="shared" si="0"/>
        <v>01</v>
      </c>
      <c r="F35" t="s">
        <v>7</v>
      </c>
      <c r="G35" t="s">
        <v>39</v>
      </c>
      <c r="H35" t="s">
        <v>38</v>
      </c>
      <c r="I35">
        <v>7.6</v>
      </c>
      <c r="J35" t="s">
        <v>24</v>
      </c>
    </row>
    <row r="36" spans="1:10" x14ac:dyDescent="0.25">
      <c r="A36" s="1">
        <v>34</v>
      </c>
      <c r="B36" s="2">
        <v>42389.441666666673</v>
      </c>
      <c r="C36" s="2" t="str">
        <f t="shared" si="0"/>
        <v>01</v>
      </c>
      <c r="D36" s="2">
        <v>42389.46597222222</v>
      </c>
      <c r="E36" s="2" t="str">
        <f t="shared" si="0"/>
        <v>01</v>
      </c>
      <c r="F36" t="s">
        <v>7</v>
      </c>
      <c r="G36" t="s">
        <v>15</v>
      </c>
      <c r="H36" t="s">
        <v>40</v>
      </c>
      <c r="I36">
        <v>17.100000000000001</v>
      </c>
      <c r="J36" t="s">
        <v>11</v>
      </c>
    </row>
    <row r="37" spans="1:10" x14ac:dyDescent="0.25">
      <c r="A37" s="1">
        <v>35</v>
      </c>
      <c r="B37" s="2">
        <v>42389.491666666669</v>
      </c>
      <c r="C37" s="2" t="str">
        <f t="shared" si="0"/>
        <v>01</v>
      </c>
      <c r="D37" s="2">
        <v>42389.513194444437</v>
      </c>
      <c r="E37" s="2" t="str">
        <f t="shared" si="0"/>
        <v>01</v>
      </c>
      <c r="F37" t="s">
        <v>7</v>
      </c>
      <c r="G37" t="s">
        <v>41</v>
      </c>
      <c r="H37" t="s">
        <v>42</v>
      </c>
      <c r="I37">
        <v>15.1</v>
      </c>
      <c r="J37" t="s">
        <v>11</v>
      </c>
    </row>
    <row r="38" spans="1:10" x14ac:dyDescent="0.25">
      <c r="A38" s="1">
        <v>36</v>
      </c>
      <c r="B38" s="2">
        <v>42389.559027777781</v>
      </c>
      <c r="C38" s="2" t="str">
        <f t="shared" si="0"/>
        <v>01</v>
      </c>
      <c r="D38" s="2">
        <v>42389.59652777778</v>
      </c>
      <c r="E38" s="2" t="str">
        <f t="shared" si="0"/>
        <v>01</v>
      </c>
      <c r="F38" t="s">
        <v>7</v>
      </c>
      <c r="G38" t="s">
        <v>40</v>
      </c>
      <c r="H38" t="s">
        <v>15</v>
      </c>
      <c r="I38">
        <v>40.200000000000003</v>
      </c>
      <c r="J38" t="s">
        <v>13</v>
      </c>
    </row>
    <row r="39" spans="1:10" x14ac:dyDescent="0.25">
      <c r="A39" s="1">
        <v>37</v>
      </c>
      <c r="B39" s="2">
        <v>42390.600694444453</v>
      </c>
      <c r="C39" s="2" t="str">
        <f t="shared" si="0"/>
        <v>01</v>
      </c>
      <c r="D39" s="2">
        <v>42390.603472222218</v>
      </c>
      <c r="E39" s="2" t="str">
        <f t="shared" si="0"/>
        <v>01</v>
      </c>
      <c r="F39" t="s">
        <v>7</v>
      </c>
      <c r="G39" t="s">
        <v>15</v>
      </c>
      <c r="H39" t="s">
        <v>15</v>
      </c>
      <c r="I39">
        <v>1.6</v>
      </c>
      <c r="J39" t="s">
        <v>10</v>
      </c>
    </row>
    <row r="40" spans="1:10" x14ac:dyDescent="0.25">
      <c r="A40" s="1">
        <v>38</v>
      </c>
      <c r="B40" s="2">
        <v>42390.613194444442</v>
      </c>
      <c r="C40" s="2" t="str">
        <f t="shared" si="0"/>
        <v>01</v>
      </c>
      <c r="D40" s="2">
        <v>42390.618750000001</v>
      </c>
      <c r="E40" s="2" t="str">
        <f t="shared" si="0"/>
        <v>01</v>
      </c>
      <c r="F40" t="s">
        <v>7</v>
      </c>
      <c r="G40" t="s">
        <v>15</v>
      </c>
      <c r="H40" t="s">
        <v>15</v>
      </c>
      <c r="I40">
        <v>2.4</v>
      </c>
      <c r="J40" t="s">
        <v>9</v>
      </c>
    </row>
    <row r="41" spans="1:10" x14ac:dyDescent="0.25">
      <c r="A41" s="1">
        <v>39</v>
      </c>
      <c r="B41" s="2">
        <v>42390.667361111111</v>
      </c>
      <c r="C41" s="2" t="str">
        <f t="shared" si="0"/>
        <v>01</v>
      </c>
      <c r="D41" s="2">
        <v>42390.67083333333</v>
      </c>
      <c r="E41" s="2" t="str">
        <f t="shared" si="0"/>
        <v>01</v>
      </c>
      <c r="F41" t="s">
        <v>7</v>
      </c>
      <c r="G41" t="s">
        <v>15</v>
      </c>
      <c r="H41" t="s">
        <v>15</v>
      </c>
      <c r="I41">
        <v>1</v>
      </c>
      <c r="J41" t="s">
        <v>9</v>
      </c>
    </row>
    <row r="42" spans="1:10" x14ac:dyDescent="0.25">
      <c r="A42" s="1">
        <v>40</v>
      </c>
      <c r="B42" s="2">
        <v>42395.445138888892</v>
      </c>
      <c r="C42" s="2" t="str">
        <f t="shared" si="0"/>
        <v>01</v>
      </c>
      <c r="D42" s="2">
        <v>42395.451388888891</v>
      </c>
      <c r="E42" s="2" t="str">
        <f t="shared" si="0"/>
        <v>01</v>
      </c>
      <c r="F42" t="s">
        <v>7</v>
      </c>
      <c r="G42" t="s">
        <v>38</v>
      </c>
      <c r="H42" t="s">
        <v>43</v>
      </c>
      <c r="I42">
        <v>2</v>
      </c>
      <c r="J42" t="s">
        <v>9</v>
      </c>
    </row>
    <row r="43" spans="1:10" x14ac:dyDescent="0.25">
      <c r="A43" s="1">
        <v>41</v>
      </c>
      <c r="B43" s="2">
        <v>42395.522916666669</v>
      </c>
      <c r="C43" s="2" t="str">
        <f t="shared" si="0"/>
        <v>01</v>
      </c>
      <c r="D43" s="2">
        <v>42395.52847222222</v>
      </c>
      <c r="E43" s="2" t="str">
        <f t="shared" si="0"/>
        <v>01</v>
      </c>
      <c r="F43" t="s">
        <v>7</v>
      </c>
      <c r="G43" t="s">
        <v>43</v>
      </c>
      <c r="H43" t="s">
        <v>38</v>
      </c>
      <c r="I43">
        <v>2.2999999999999998</v>
      </c>
      <c r="J43" t="s">
        <v>10</v>
      </c>
    </row>
    <row r="44" spans="1:10" x14ac:dyDescent="0.25">
      <c r="A44" s="1">
        <v>42</v>
      </c>
      <c r="B44" s="2">
        <v>42395.683333333327</v>
      </c>
      <c r="C44" s="2" t="str">
        <f t="shared" si="0"/>
        <v>01</v>
      </c>
      <c r="D44" s="2">
        <v>42395.688888888893</v>
      </c>
      <c r="E44" s="2" t="str">
        <f t="shared" si="0"/>
        <v>01</v>
      </c>
      <c r="F44" t="s">
        <v>7</v>
      </c>
      <c r="G44" t="s">
        <v>38</v>
      </c>
      <c r="H44" t="s">
        <v>44</v>
      </c>
      <c r="I44">
        <v>1.9</v>
      </c>
      <c r="J44" t="s">
        <v>10</v>
      </c>
    </row>
    <row r="45" spans="1:10" x14ac:dyDescent="0.25">
      <c r="A45" s="1">
        <v>43</v>
      </c>
      <c r="B45" s="2">
        <v>42395.720138888893</v>
      </c>
      <c r="C45" s="2" t="str">
        <f t="shared" si="0"/>
        <v>01</v>
      </c>
      <c r="D45" s="2">
        <v>42395.723611111112</v>
      </c>
      <c r="E45" s="2" t="str">
        <f t="shared" si="0"/>
        <v>01</v>
      </c>
      <c r="F45" t="s">
        <v>7</v>
      </c>
      <c r="G45" t="s">
        <v>15</v>
      </c>
      <c r="H45" t="s">
        <v>15</v>
      </c>
      <c r="I45">
        <v>1.4</v>
      </c>
      <c r="J45" t="s">
        <v>10</v>
      </c>
    </row>
    <row r="46" spans="1:10" x14ac:dyDescent="0.25">
      <c r="A46" s="1">
        <v>44</v>
      </c>
      <c r="B46" s="2">
        <v>42395.727083333331</v>
      </c>
      <c r="C46" s="2" t="str">
        <f t="shared" si="0"/>
        <v>01</v>
      </c>
      <c r="D46" s="2">
        <v>42395.728472222218</v>
      </c>
      <c r="E46" s="2" t="str">
        <f t="shared" si="0"/>
        <v>01</v>
      </c>
      <c r="F46" t="s">
        <v>7</v>
      </c>
      <c r="G46" t="s">
        <v>15</v>
      </c>
      <c r="H46" t="s">
        <v>15</v>
      </c>
      <c r="I46">
        <v>0.5</v>
      </c>
      <c r="J46" t="s">
        <v>10</v>
      </c>
    </row>
    <row r="47" spans="1:10" x14ac:dyDescent="0.25">
      <c r="A47" s="1">
        <v>45</v>
      </c>
      <c r="B47" s="2">
        <v>42396.39166666667</v>
      </c>
      <c r="C47" s="2" t="str">
        <f t="shared" si="0"/>
        <v>01</v>
      </c>
      <c r="D47" s="2">
        <v>42396.396527777782</v>
      </c>
      <c r="E47" s="2" t="str">
        <f t="shared" si="0"/>
        <v>01</v>
      </c>
      <c r="F47" t="s">
        <v>7</v>
      </c>
      <c r="G47" t="s">
        <v>15</v>
      </c>
      <c r="H47" t="s">
        <v>15</v>
      </c>
      <c r="I47">
        <v>1.8</v>
      </c>
      <c r="J47" t="s">
        <v>11</v>
      </c>
    </row>
    <row r="48" spans="1:10" x14ac:dyDescent="0.25">
      <c r="A48" s="1">
        <v>46</v>
      </c>
      <c r="B48" s="2">
        <v>42396.429861111108</v>
      </c>
      <c r="C48" s="2" t="str">
        <f t="shared" si="0"/>
        <v>01</v>
      </c>
      <c r="D48" s="2">
        <v>42396.45</v>
      </c>
      <c r="E48" s="2" t="str">
        <f t="shared" si="0"/>
        <v>01</v>
      </c>
      <c r="F48" t="s">
        <v>7</v>
      </c>
      <c r="G48" t="s">
        <v>15</v>
      </c>
      <c r="H48" t="s">
        <v>40</v>
      </c>
      <c r="I48">
        <v>18.7</v>
      </c>
      <c r="J48" t="s">
        <v>13</v>
      </c>
    </row>
    <row r="49" spans="1:10" x14ac:dyDescent="0.25">
      <c r="A49" s="1">
        <v>47</v>
      </c>
      <c r="B49" s="2">
        <v>42396.523611111108</v>
      </c>
      <c r="C49" s="2" t="str">
        <f t="shared" si="0"/>
        <v>01</v>
      </c>
      <c r="D49" s="2">
        <v>42396.530555555553</v>
      </c>
      <c r="E49" s="2" t="str">
        <f t="shared" si="0"/>
        <v>01</v>
      </c>
      <c r="F49" t="s">
        <v>7</v>
      </c>
      <c r="G49" t="s">
        <v>45</v>
      </c>
      <c r="H49" t="s">
        <v>46</v>
      </c>
      <c r="I49">
        <v>3.4</v>
      </c>
      <c r="J49" t="s">
        <v>13</v>
      </c>
    </row>
    <row r="50" spans="1:10" x14ac:dyDescent="0.25">
      <c r="A50" s="1">
        <v>48</v>
      </c>
      <c r="B50" s="2">
        <v>42396.586805555547</v>
      </c>
      <c r="C50" s="2" t="str">
        <f t="shared" si="0"/>
        <v>01</v>
      </c>
      <c r="D50" s="2">
        <v>42396.592361111107</v>
      </c>
      <c r="E50" s="2" t="str">
        <f t="shared" si="0"/>
        <v>01</v>
      </c>
      <c r="F50" t="s">
        <v>7</v>
      </c>
      <c r="G50" t="s">
        <v>40</v>
      </c>
      <c r="H50" t="s">
        <v>40</v>
      </c>
      <c r="I50">
        <v>2.7</v>
      </c>
      <c r="J50" t="s">
        <v>13</v>
      </c>
    </row>
    <row r="51" spans="1:10" x14ac:dyDescent="0.25">
      <c r="A51" s="1">
        <v>49</v>
      </c>
      <c r="B51" s="2">
        <v>42396.615277777782</v>
      </c>
      <c r="C51" s="2" t="str">
        <f t="shared" si="0"/>
        <v>01</v>
      </c>
      <c r="D51" s="2">
        <v>42396.630555555559</v>
      </c>
      <c r="E51" s="2" t="str">
        <f t="shared" si="0"/>
        <v>01</v>
      </c>
      <c r="F51" t="s">
        <v>7</v>
      </c>
      <c r="G51" t="s">
        <v>40</v>
      </c>
      <c r="H51" t="s">
        <v>15</v>
      </c>
      <c r="I51">
        <v>12.9</v>
      </c>
      <c r="J51" t="s">
        <v>13</v>
      </c>
    </row>
    <row r="52" spans="1:10" x14ac:dyDescent="0.25">
      <c r="A52" s="1">
        <v>50</v>
      </c>
      <c r="B52" s="2">
        <v>42397.519444444442</v>
      </c>
      <c r="C52" s="2" t="str">
        <f t="shared" si="0"/>
        <v>01</v>
      </c>
      <c r="D52" s="2">
        <v>42397.541666666657</v>
      </c>
      <c r="E52" s="2" t="str">
        <f t="shared" si="0"/>
        <v>01</v>
      </c>
      <c r="F52" t="s">
        <v>7</v>
      </c>
      <c r="G52" t="s">
        <v>15</v>
      </c>
      <c r="H52" t="s">
        <v>40</v>
      </c>
      <c r="I52">
        <v>19</v>
      </c>
      <c r="J52" t="s">
        <v>24</v>
      </c>
    </row>
    <row r="53" spans="1:10" x14ac:dyDescent="0.25">
      <c r="A53" s="1">
        <v>51</v>
      </c>
      <c r="B53" s="2">
        <v>42397.632638888892</v>
      </c>
      <c r="C53" s="2" t="str">
        <f t="shared" si="0"/>
        <v>01</v>
      </c>
      <c r="D53" s="2">
        <v>42397.646527777782</v>
      </c>
      <c r="E53" s="2" t="str">
        <f t="shared" si="0"/>
        <v>01</v>
      </c>
      <c r="F53" t="s">
        <v>7</v>
      </c>
      <c r="G53" t="s">
        <v>46</v>
      </c>
      <c r="H53" t="s">
        <v>47</v>
      </c>
      <c r="I53">
        <v>14.7</v>
      </c>
      <c r="J53" t="s">
        <v>11</v>
      </c>
    </row>
    <row r="54" spans="1:10" x14ac:dyDescent="0.25">
      <c r="A54" s="1">
        <v>52</v>
      </c>
      <c r="B54" s="2">
        <v>42397.681250000001</v>
      </c>
      <c r="C54" s="2" t="str">
        <f t="shared" si="0"/>
        <v>01</v>
      </c>
      <c r="D54" s="2">
        <v>42397.70208333333</v>
      </c>
      <c r="E54" s="2" t="str">
        <f t="shared" si="0"/>
        <v>01</v>
      </c>
      <c r="F54" t="s">
        <v>7</v>
      </c>
      <c r="G54" t="s">
        <v>40</v>
      </c>
      <c r="H54" t="s">
        <v>15</v>
      </c>
      <c r="I54">
        <v>15.7</v>
      </c>
      <c r="J54" t="s">
        <v>11</v>
      </c>
    </row>
    <row r="55" spans="1:10" x14ac:dyDescent="0.25">
      <c r="A55" s="1">
        <v>53</v>
      </c>
      <c r="B55" s="2">
        <v>42398.396527777782</v>
      </c>
      <c r="C55" s="2" t="str">
        <f t="shared" si="0"/>
        <v>01</v>
      </c>
      <c r="D55" s="2">
        <v>42398.40625</v>
      </c>
      <c r="E55" s="2" t="str">
        <f t="shared" si="0"/>
        <v>01</v>
      </c>
      <c r="F55" t="s">
        <v>7</v>
      </c>
      <c r="G55" t="s">
        <v>15</v>
      </c>
      <c r="H55" t="s">
        <v>15</v>
      </c>
      <c r="I55">
        <v>4.5999999999999996</v>
      </c>
      <c r="J55" t="s">
        <v>13</v>
      </c>
    </row>
    <row r="56" spans="1:10" x14ac:dyDescent="0.25">
      <c r="A56" s="1">
        <v>54</v>
      </c>
      <c r="B56" s="2">
        <v>42398.455555555563</v>
      </c>
      <c r="C56" s="2" t="str">
        <f t="shared" si="0"/>
        <v>01</v>
      </c>
      <c r="D56" s="2">
        <v>42398.463194444441</v>
      </c>
      <c r="E56" s="2" t="str">
        <f t="shared" si="0"/>
        <v>01</v>
      </c>
      <c r="F56" t="s">
        <v>7</v>
      </c>
      <c r="G56" t="s">
        <v>15</v>
      </c>
      <c r="H56" t="s">
        <v>15</v>
      </c>
      <c r="I56">
        <v>5.2</v>
      </c>
      <c r="J56" t="s">
        <v>11</v>
      </c>
    </row>
    <row r="57" spans="1:10" x14ac:dyDescent="0.25">
      <c r="A57" s="1">
        <v>55</v>
      </c>
      <c r="B57" s="2">
        <v>42398.488194444442</v>
      </c>
      <c r="C57" s="2" t="str">
        <f t="shared" si="0"/>
        <v>01</v>
      </c>
      <c r="D57" s="2">
        <v>42398.502083333333</v>
      </c>
      <c r="E57" s="2" t="str">
        <f t="shared" si="0"/>
        <v>01</v>
      </c>
      <c r="F57" t="s">
        <v>7</v>
      </c>
      <c r="G57" t="s">
        <v>15</v>
      </c>
      <c r="H57" t="s">
        <v>36</v>
      </c>
      <c r="I57">
        <v>10.4</v>
      </c>
      <c r="J57" t="s">
        <v>11</v>
      </c>
    </row>
    <row r="58" spans="1:10" x14ac:dyDescent="0.25">
      <c r="A58" s="1">
        <v>56</v>
      </c>
      <c r="B58" s="2">
        <v>42398.558333333327</v>
      </c>
      <c r="C58" s="2" t="str">
        <f t="shared" si="0"/>
        <v>01</v>
      </c>
      <c r="D58" s="2">
        <v>42398.574305555558</v>
      </c>
      <c r="E58" s="2" t="str">
        <f t="shared" si="0"/>
        <v>01</v>
      </c>
      <c r="F58" t="s">
        <v>7</v>
      </c>
      <c r="G58" t="s">
        <v>36</v>
      </c>
      <c r="H58" t="s">
        <v>15</v>
      </c>
      <c r="I58">
        <v>10.1</v>
      </c>
      <c r="J58" t="s">
        <v>11</v>
      </c>
    </row>
    <row r="59" spans="1:10" x14ac:dyDescent="0.25">
      <c r="A59" s="1">
        <v>57</v>
      </c>
      <c r="B59" s="2">
        <v>42398.771527777782</v>
      </c>
      <c r="C59" s="2" t="str">
        <f t="shared" si="0"/>
        <v>01</v>
      </c>
      <c r="D59" s="2">
        <v>42398.786111111112</v>
      </c>
      <c r="E59" s="2" t="str">
        <f t="shared" si="0"/>
        <v>01</v>
      </c>
      <c r="F59" t="s">
        <v>7</v>
      </c>
      <c r="G59" t="s">
        <v>15</v>
      </c>
      <c r="H59" t="s">
        <v>48</v>
      </c>
      <c r="I59">
        <v>5.8</v>
      </c>
      <c r="J59" t="s">
        <v>10</v>
      </c>
    </row>
    <row r="60" spans="1:10" x14ac:dyDescent="0.25">
      <c r="A60" s="1">
        <v>58</v>
      </c>
      <c r="B60" s="2">
        <v>42398.88958333333</v>
      </c>
      <c r="C60" s="2" t="str">
        <f t="shared" si="0"/>
        <v>01</v>
      </c>
      <c r="D60" s="2">
        <v>42398.902777777781</v>
      </c>
      <c r="E60" s="2" t="str">
        <f t="shared" si="0"/>
        <v>01</v>
      </c>
      <c r="F60" t="s">
        <v>7</v>
      </c>
      <c r="G60" t="s">
        <v>48</v>
      </c>
      <c r="H60" t="s">
        <v>15</v>
      </c>
      <c r="I60">
        <v>5.5</v>
      </c>
      <c r="J60" t="s">
        <v>9</v>
      </c>
    </row>
    <row r="61" spans="1:10" x14ac:dyDescent="0.25">
      <c r="A61" s="1">
        <v>59</v>
      </c>
      <c r="B61" s="2">
        <v>42399.681250000001</v>
      </c>
      <c r="C61" s="2" t="str">
        <f t="shared" si="0"/>
        <v>01</v>
      </c>
      <c r="D61" s="2">
        <v>42399.689583333333</v>
      </c>
      <c r="E61" s="2" t="str">
        <f t="shared" si="0"/>
        <v>01</v>
      </c>
      <c r="F61" t="s">
        <v>7</v>
      </c>
      <c r="G61" t="s">
        <v>15</v>
      </c>
      <c r="H61" t="s">
        <v>48</v>
      </c>
      <c r="I61">
        <v>5.7</v>
      </c>
      <c r="J61" t="s">
        <v>10</v>
      </c>
    </row>
    <row r="62" spans="1:10" x14ac:dyDescent="0.25">
      <c r="A62" s="1">
        <v>60</v>
      </c>
      <c r="B62" s="2">
        <v>42399.756249999999</v>
      </c>
      <c r="C62" s="2" t="str">
        <f t="shared" si="0"/>
        <v>01</v>
      </c>
      <c r="D62" s="2">
        <v>42399.76666666667</v>
      </c>
      <c r="E62" s="2" t="str">
        <f t="shared" si="0"/>
        <v>01</v>
      </c>
      <c r="F62" t="s">
        <v>7</v>
      </c>
      <c r="G62" t="s">
        <v>48</v>
      </c>
      <c r="H62" t="s">
        <v>15</v>
      </c>
      <c r="I62">
        <v>5.7</v>
      </c>
      <c r="J62" t="s">
        <v>13</v>
      </c>
    </row>
    <row r="63" spans="1:10" x14ac:dyDescent="0.25">
      <c r="A63" s="1">
        <v>61</v>
      </c>
      <c r="B63" s="2">
        <v>42401.440972222219</v>
      </c>
      <c r="C63" s="2" t="str">
        <f t="shared" si="0"/>
        <v>02</v>
      </c>
      <c r="D63" s="2">
        <v>42401.46875</v>
      </c>
      <c r="E63" s="2" t="str">
        <f t="shared" si="0"/>
        <v>02</v>
      </c>
      <c r="F63" t="s">
        <v>7</v>
      </c>
      <c r="G63" t="s">
        <v>15</v>
      </c>
      <c r="H63" t="s">
        <v>49</v>
      </c>
      <c r="I63">
        <v>19.399999999999999</v>
      </c>
      <c r="J63" t="s">
        <v>13</v>
      </c>
    </row>
    <row r="64" spans="1:10" x14ac:dyDescent="0.25">
      <c r="A64" s="1">
        <v>62</v>
      </c>
      <c r="B64" s="2">
        <v>42401.506944444453</v>
      </c>
      <c r="C64" s="2" t="str">
        <f t="shared" si="0"/>
        <v>02</v>
      </c>
      <c r="D64" s="2">
        <v>42401.529861111107</v>
      </c>
      <c r="E64" s="2" t="str">
        <f t="shared" si="0"/>
        <v>02</v>
      </c>
      <c r="F64" t="s">
        <v>7</v>
      </c>
      <c r="G64" t="s">
        <v>49</v>
      </c>
      <c r="H64" t="s">
        <v>15</v>
      </c>
      <c r="I64">
        <v>23.3</v>
      </c>
      <c r="J64" t="s">
        <v>13</v>
      </c>
    </row>
    <row r="65" spans="1:10" x14ac:dyDescent="0.25">
      <c r="A65" s="1">
        <v>63</v>
      </c>
      <c r="B65" s="2">
        <v>42401.538888888892</v>
      </c>
      <c r="C65" s="2" t="str">
        <f t="shared" si="0"/>
        <v>02</v>
      </c>
      <c r="D65" s="2">
        <v>42401.546527777777</v>
      </c>
      <c r="E65" s="2" t="str">
        <f t="shared" si="0"/>
        <v>02</v>
      </c>
      <c r="F65" t="s">
        <v>7</v>
      </c>
      <c r="G65" t="s">
        <v>50</v>
      </c>
      <c r="H65" t="s">
        <v>38</v>
      </c>
      <c r="I65">
        <v>3.9</v>
      </c>
      <c r="J65" t="s">
        <v>9</v>
      </c>
    </row>
    <row r="66" spans="1:10" x14ac:dyDescent="0.25">
      <c r="A66" s="1">
        <v>64</v>
      </c>
      <c r="B66" s="2">
        <v>42402.544444444437</v>
      </c>
      <c r="C66" s="2" t="str">
        <f t="shared" si="0"/>
        <v>02</v>
      </c>
      <c r="D66" s="2">
        <v>42402.557638888888</v>
      </c>
      <c r="E66" s="2" t="str">
        <f t="shared" si="0"/>
        <v>02</v>
      </c>
      <c r="F66" t="s">
        <v>7</v>
      </c>
      <c r="G66" t="s">
        <v>38</v>
      </c>
      <c r="H66" t="s">
        <v>51</v>
      </c>
      <c r="I66">
        <v>8.3000000000000007</v>
      </c>
      <c r="J66" t="s">
        <v>11</v>
      </c>
    </row>
    <row r="67" spans="1:10" x14ac:dyDescent="0.25">
      <c r="A67" s="1">
        <v>65</v>
      </c>
      <c r="B67" s="2">
        <v>42402.57708333333</v>
      </c>
      <c r="C67" s="2" t="str">
        <f t="shared" ref="C67:E130" si="3" xml:space="preserve"> TEXT(B67, "mm")</f>
        <v>02</v>
      </c>
      <c r="D67" s="2">
        <v>42402.587500000001</v>
      </c>
      <c r="E67" s="2" t="str">
        <f t="shared" si="3"/>
        <v>02</v>
      </c>
      <c r="F67" t="s">
        <v>7</v>
      </c>
      <c r="G67" t="s">
        <v>15</v>
      </c>
      <c r="H67" t="s">
        <v>15</v>
      </c>
      <c r="I67">
        <v>6</v>
      </c>
      <c r="J67" t="s">
        <v>10</v>
      </c>
    </row>
    <row r="68" spans="1:10" x14ac:dyDescent="0.25">
      <c r="A68" s="1">
        <v>66</v>
      </c>
      <c r="B68" s="2">
        <v>42402.609722222223</v>
      </c>
      <c r="C68" s="2" t="str">
        <f t="shared" si="3"/>
        <v>02</v>
      </c>
      <c r="D68" s="2">
        <v>42402.612500000003</v>
      </c>
      <c r="E68" s="2" t="str">
        <f t="shared" si="3"/>
        <v>02</v>
      </c>
      <c r="F68" t="s">
        <v>7</v>
      </c>
      <c r="G68" t="s">
        <v>15</v>
      </c>
      <c r="H68" t="s">
        <v>15</v>
      </c>
      <c r="I68">
        <v>1.6</v>
      </c>
      <c r="J68" t="s">
        <v>10</v>
      </c>
    </row>
    <row r="69" spans="1:10" x14ac:dyDescent="0.25">
      <c r="A69" s="1">
        <v>67</v>
      </c>
      <c r="B69" s="2">
        <v>42404.361111111109</v>
      </c>
      <c r="C69" s="2" t="str">
        <f t="shared" si="3"/>
        <v>02</v>
      </c>
      <c r="D69" s="2">
        <v>42404.375694444447</v>
      </c>
      <c r="E69" s="2" t="str">
        <f t="shared" si="3"/>
        <v>02</v>
      </c>
      <c r="F69" t="s">
        <v>7</v>
      </c>
      <c r="G69" t="s">
        <v>15</v>
      </c>
      <c r="H69" t="s">
        <v>16</v>
      </c>
      <c r="I69">
        <v>5.2</v>
      </c>
      <c r="J69" t="s">
        <v>10</v>
      </c>
    </row>
    <row r="70" spans="1:10" x14ac:dyDescent="0.25">
      <c r="A70" s="1">
        <v>68</v>
      </c>
      <c r="B70" s="2">
        <v>42404.400694444441</v>
      </c>
      <c r="C70" s="2" t="str">
        <f t="shared" si="3"/>
        <v>02</v>
      </c>
      <c r="D70" s="2">
        <v>42404.42291666667</v>
      </c>
      <c r="E70" s="2" t="str">
        <f t="shared" si="3"/>
        <v>02</v>
      </c>
      <c r="F70" t="s">
        <v>7</v>
      </c>
      <c r="G70" t="s">
        <v>16</v>
      </c>
      <c r="H70" t="s">
        <v>15</v>
      </c>
      <c r="I70">
        <v>9.6999999999999993</v>
      </c>
      <c r="J70" t="s">
        <v>9</v>
      </c>
    </row>
    <row r="71" spans="1:10" x14ac:dyDescent="0.25">
      <c r="A71" s="1">
        <v>69</v>
      </c>
      <c r="B71" s="2">
        <v>42404.43472222222</v>
      </c>
      <c r="C71" s="2" t="str">
        <f t="shared" si="3"/>
        <v>02</v>
      </c>
      <c r="D71" s="2">
        <v>42404.438888888893</v>
      </c>
      <c r="E71" s="2" t="str">
        <f t="shared" si="3"/>
        <v>02</v>
      </c>
      <c r="F71" t="s">
        <v>7</v>
      </c>
      <c r="G71" t="s">
        <v>15</v>
      </c>
      <c r="H71" t="s">
        <v>15</v>
      </c>
      <c r="I71">
        <v>1.6</v>
      </c>
      <c r="J71" t="s">
        <v>9</v>
      </c>
    </row>
    <row r="72" spans="1:10" x14ac:dyDescent="0.25">
      <c r="A72" s="1">
        <v>70</v>
      </c>
      <c r="B72" s="2">
        <v>42404.665972222218</v>
      </c>
      <c r="C72" s="2" t="str">
        <f t="shared" si="3"/>
        <v>02</v>
      </c>
      <c r="D72" s="2">
        <v>42404.668749999997</v>
      </c>
      <c r="E72" s="2" t="str">
        <f t="shared" si="3"/>
        <v>02</v>
      </c>
      <c r="F72" t="s">
        <v>7</v>
      </c>
      <c r="G72" t="s">
        <v>15</v>
      </c>
      <c r="H72" t="s">
        <v>15</v>
      </c>
      <c r="I72">
        <v>1.1000000000000001</v>
      </c>
      <c r="J72" t="s">
        <v>9</v>
      </c>
    </row>
    <row r="73" spans="1:10" x14ac:dyDescent="0.25">
      <c r="A73" s="1">
        <v>71</v>
      </c>
      <c r="B73" s="2">
        <v>42404.690972222219</v>
      </c>
      <c r="C73" s="2" t="str">
        <f t="shared" si="3"/>
        <v>02</v>
      </c>
      <c r="D73" s="2">
        <v>42404.693749999999</v>
      </c>
      <c r="E73" s="2" t="str">
        <f t="shared" si="3"/>
        <v>02</v>
      </c>
      <c r="F73" t="s">
        <v>7</v>
      </c>
      <c r="G73" t="s">
        <v>15</v>
      </c>
      <c r="H73" t="s">
        <v>15</v>
      </c>
      <c r="I73">
        <v>1.6</v>
      </c>
      <c r="J73" t="s">
        <v>9</v>
      </c>
    </row>
    <row r="74" spans="1:10" x14ac:dyDescent="0.25">
      <c r="A74" s="1">
        <v>72</v>
      </c>
      <c r="B74" s="2">
        <v>42404.75277777778</v>
      </c>
      <c r="C74" s="2" t="str">
        <f t="shared" si="3"/>
        <v>02</v>
      </c>
      <c r="D74" s="2">
        <v>42404.771527777782</v>
      </c>
      <c r="E74" s="2" t="str">
        <f t="shared" si="3"/>
        <v>02</v>
      </c>
      <c r="F74" t="s">
        <v>7</v>
      </c>
      <c r="G74" t="s">
        <v>38</v>
      </c>
      <c r="H74" t="s">
        <v>52</v>
      </c>
      <c r="I74">
        <v>9</v>
      </c>
      <c r="J74" t="s">
        <v>11</v>
      </c>
    </row>
    <row r="75" spans="1:10" x14ac:dyDescent="0.25">
      <c r="A75" s="1">
        <v>73</v>
      </c>
      <c r="B75" s="2">
        <v>42404.85833333333</v>
      </c>
      <c r="C75" s="2" t="str">
        <f t="shared" si="3"/>
        <v>02</v>
      </c>
      <c r="D75" s="2">
        <v>42404.871527777781</v>
      </c>
      <c r="E75" s="2" t="str">
        <f t="shared" si="3"/>
        <v>02</v>
      </c>
      <c r="F75" t="s">
        <v>7</v>
      </c>
      <c r="G75" t="s">
        <v>15</v>
      </c>
      <c r="H75" t="s">
        <v>15</v>
      </c>
      <c r="I75">
        <v>7.7</v>
      </c>
      <c r="J75" t="s">
        <v>11</v>
      </c>
    </row>
    <row r="76" spans="1:10" x14ac:dyDescent="0.25">
      <c r="A76" s="1">
        <v>74</v>
      </c>
      <c r="B76" s="2">
        <v>42405.490972222222</v>
      </c>
      <c r="C76" s="2" t="str">
        <f t="shared" si="3"/>
        <v>02</v>
      </c>
      <c r="D76" s="2">
        <v>42405.504861111112</v>
      </c>
      <c r="E76" s="2" t="str">
        <f t="shared" si="3"/>
        <v>02</v>
      </c>
      <c r="F76" t="s">
        <v>7</v>
      </c>
      <c r="G76" t="s">
        <v>15</v>
      </c>
      <c r="H76" t="s">
        <v>36</v>
      </c>
      <c r="I76">
        <v>10.4</v>
      </c>
      <c r="J76" t="s">
        <v>11</v>
      </c>
    </row>
    <row r="77" spans="1:10" x14ac:dyDescent="0.25">
      <c r="A77" s="1">
        <v>75</v>
      </c>
      <c r="B77" s="2">
        <v>42405.556944444441</v>
      </c>
      <c r="C77" s="2" t="str">
        <f t="shared" si="3"/>
        <v>02</v>
      </c>
      <c r="D77" s="2">
        <v>42405.570138888892</v>
      </c>
      <c r="E77" s="2" t="str">
        <f t="shared" si="3"/>
        <v>02</v>
      </c>
      <c r="F77" t="s">
        <v>7</v>
      </c>
      <c r="G77" t="s">
        <v>36</v>
      </c>
      <c r="H77" t="s">
        <v>15</v>
      </c>
      <c r="I77">
        <v>10.4</v>
      </c>
      <c r="J77" t="s">
        <v>11</v>
      </c>
    </row>
    <row r="78" spans="1:10" x14ac:dyDescent="0.25">
      <c r="A78" s="1">
        <v>76</v>
      </c>
      <c r="B78" s="2">
        <v>42406.680555555547</v>
      </c>
      <c r="C78" s="2" t="str">
        <f t="shared" si="3"/>
        <v>02</v>
      </c>
      <c r="D78" s="2">
        <v>42406.703472222223</v>
      </c>
      <c r="E78" s="2" t="str">
        <f t="shared" si="3"/>
        <v>02</v>
      </c>
      <c r="F78" t="s">
        <v>7</v>
      </c>
      <c r="G78" t="s">
        <v>15</v>
      </c>
      <c r="H78" t="s">
        <v>40</v>
      </c>
      <c r="I78">
        <v>11.4</v>
      </c>
      <c r="J78" t="s">
        <v>53</v>
      </c>
    </row>
    <row r="79" spans="1:10" x14ac:dyDescent="0.25">
      <c r="A79" s="1">
        <v>77</v>
      </c>
      <c r="B79" s="2">
        <v>42406.789583333331</v>
      </c>
      <c r="C79" s="2" t="str">
        <f t="shared" si="3"/>
        <v>02</v>
      </c>
      <c r="D79" s="2">
        <v>42406.806250000001</v>
      </c>
      <c r="E79" s="2" t="str">
        <f t="shared" si="3"/>
        <v>02</v>
      </c>
      <c r="F79" t="s">
        <v>7</v>
      </c>
      <c r="G79" t="s">
        <v>40</v>
      </c>
      <c r="H79" t="s">
        <v>15</v>
      </c>
      <c r="I79">
        <v>9</v>
      </c>
      <c r="J79" t="s">
        <v>10</v>
      </c>
    </row>
    <row r="80" spans="1:10" x14ac:dyDescent="0.25">
      <c r="A80" s="1">
        <v>78</v>
      </c>
      <c r="B80" s="2">
        <v>42406.811111111107</v>
      </c>
      <c r="C80" s="2" t="str">
        <f t="shared" si="3"/>
        <v>02</v>
      </c>
      <c r="D80" s="2">
        <v>42406.817361111112</v>
      </c>
      <c r="E80" s="2" t="str">
        <f t="shared" si="3"/>
        <v>02</v>
      </c>
      <c r="F80" t="s">
        <v>7</v>
      </c>
      <c r="G80" t="s">
        <v>54</v>
      </c>
      <c r="H80" t="s">
        <v>38</v>
      </c>
      <c r="I80">
        <v>3.2</v>
      </c>
      <c r="J80" t="s">
        <v>9</v>
      </c>
    </row>
    <row r="81" spans="1:10" x14ac:dyDescent="0.25">
      <c r="A81" s="1">
        <v>79</v>
      </c>
      <c r="B81" s="2">
        <v>42407.700694444437</v>
      </c>
      <c r="C81" s="2" t="str">
        <f t="shared" si="3"/>
        <v>02</v>
      </c>
      <c r="D81" s="2">
        <v>42407.709027777782</v>
      </c>
      <c r="E81" s="2" t="str">
        <f t="shared" si="3"/>
        <v>02</v>
      </c>
      <c r="F81" t="s">
        <v>7</v>
      </c>
      <c r="G81" t="s">
        <v>15</v>
      </c>
      <c r="H81" t="s">
        <v>48</v>
      </c>
      <c r="I81">
        <v>5.6</v>
      </c>
      <c r="J81" t="s">
        <v>10</v>
      </c>
    </row>
    <row r="82" spans="1:10" x14ac:dyDescent="0.25">
      <c r="A82" s="1">
        <v>80</v>
      </c>
      <c r="B82" s="2">
        <v>42407.752083333333</v>
      </c>
      <c r="C82" s="2" t="str">
        <f t="shared" si="3"/>
        <v>02</v>
      </c>
      <c r="D82" s="2">
        <v>42407.761805555558</v>
      </c>
      <c r="E82" s="2" t="str">
        <f t="shared" si="3"/>
        <v>02</v>
      </c>
      <c r="F82" t="s">
        <v>7</v>
      </c>
      <c r="G82" t="s">
        <v>48</v>
      </c>
      <c r="H82" t="s">
        <v>15</v>
      </c>
      <c r="I82">
        <v>5.7</v>
      </c>
      <c r="J82" t="s">
        <v>13</v>
      </c>
    </row>
    <row r="83" spans="1:10" x14ac:dyDescent="0.25">
      <c r="A83" s="1">
        <v>81</v>
      </c>
      <c r="B83" s="2">
        <v>42407.777083333327</v>
      </c>
      <c r="C83" s="2" t="str">
        <f t="shared" si="3"/>
        <v>02</v>
      </c>
      <c r="D83" s="2">
        <v>42407.786805555559</v>
      </c>
      <c r="E83" s="2" t="str">
        <f t="shared" si="3"/>
        <v>02</v>
      </c>
      <c r="F83" t="s">
        <v>7</v>
      </c>
      <c r="G83" t="s">
        <v>15</v>
      </c>
      <c r="H83" t="s">
        <v>16</v>
      </c>
      <c r="I83">
        <v>6.1</v>
      </c>
      <c r="J83" t="s">
        <v>24</v>
      </c>
    </row>
    <row r="84" spans="1:10" x14ac:dyDescent="0.25">
      <c r="A84" s="1">
        <v>82</v>
      </c>
      <c r="B84" s="2">
        <v>42407.848611111112</v>
      </c>
      <c r="C84" s="2" t="str">
        <f t="shared" si="3"/>
        <v>02</v>
      </c>
      <c r="D84" s="2">
        <v>42407.861111111109</v>
      </c>
      <c r="E84" s="2" t="str">
        <f t="shared" si="3"/>
        <v>02</v>
      </c>
      <c r="F84" t="s">
        <v>7</v>
      </c>
      <c r="G84" t="s">
        <v>16</v>
      </c>
      <c r="H84" t="s">
        <v>15</v>
      </c>
      <c r="I84">
        <v>6.1</v>
      </c>
      <c r="J84" t="s">
        <v>11</v>
      </c>
    </row>
    <row r="85" spans="1:10" x14ac:dyDescent="0.25">
      <c r="A85" s="1">
        <v>83</v>
      </c>
      <c r="B85" s="2">
        <v>42408.539583333331</v>
      </c>
      <c r="C85" s="2" t="str">
        <f t="shared" si="3"/>
        <v>02</v>
      </c>
      <c r="D85" s="2">
        <v>42408.547222222223</v>
      </c>
      <c r="E85" s="2" t="str">
        <f t="shared" si="3"/>
        <v>02</v>
      </c>
      <c r="F85" t="s">
        <v>7</v>
      </c>
      <c r="G85" t="s">
        <v>38</v>
      </c>
      <c r="H85" t="s">
        <v>54</v>
      </c>
      <c r="I85">
        <v>4.3</v>
      </c>
      <c r="J85" t="s">
        <v>9</v>
      </c>
    </row>
    <row r="86" spans="1:10" x14ac:dyDescent="0.25">
      <c r="A86" s="1">
        <v>84</v>
      </c>
      <c r="B86" s="2">
        <v>42408.583333333343</v>
      </c>
      <c r="C86" s="2" t="str">
        <f t="shared" si="3"/>
        <v>02</v>
      </c>
      <c r="D86" s="2">
        <v>42408.590277777781</v>
      </c>
      <c r="E86" s="2" t="str">
        <f t="shared" si="3"/>
        <v>02</v>
      </c>
      <c r="F86" t="s">
        <v>7</v>
      </c>
      <c r="G86" t="s">
        <v>54</v>
      </c>
      <c r="H86" t="s">
        <v>38</v>
      </c>
      <c r="I86">
        <v>2.7</v>
      </c>
      <c r="J86" t="s">
        <v>9</v>
      </c>
    </row>
    <row r="87" spans="1:10" x14ac:dyDescent="0.25">
      <c r="A87" s="1">
        <v>85</v>
      </c>
      <c r="B87" s="2">
        <v>42409.45416666667</v>
      </c>
      <c r="C87" s="2" t="str">
        <f t="shared" si="3"/>
        <v>02</v>
      </c>
      <c r="D87" s="2">
        <v>42409.463194444441</v>
      </c>
      <c r="E87" s="2" t="str">
        <f t="shared" si="3"/>
        <v>02</v>
      </c>
      <c r="F87" t="s">
        <v>55</v>
      </c>
      <c r="G87" t="s">
        <v>38</v>
      </c>
      <c r="H87" t="s">
        <v>50</v>
      </c>
      <c r="I87">
        <v>5.3</v>
      </c>
    </row>
    <row r="88" spans="1:10" x14ac:dyDescent="0.25">
      <c r="A88" s="1">
        <v>86</v>
      </c>
      <c r="B88" s="2">
        <v>42409.488194444442</v>
      </c>
      <c r="C88" s="2" t="str">
        <f t="shared" si="3"/>
        <v>02</v>
      </c>
      <c r="D88" s="2">
        <v>42409.493055555547</v>
      </c>
      <c r="E88" s="2" t="str">
        <f t="shared" si="3"/>
        <v>02</v>
      </c>
      <c r="F88" t="s">
        <v>55</v>
      </c>
      <c r="G88" t="s">
        <v>50</v>
      </c>
      <c r="H88" t="s">
        <v>56</v>
      </c>
      <c r="I88">
        <v>3</v>
      </c>
    </row>
    <row r="89" spans="1:10" x14ac:dyDescent="0.25">
      <c r="A89" s="1">
        <v>87</v>
      </c>
      <c r="B89" s="2">
        <v>42409.566666666673</v>
      </c>
      <c r="C89" s="2" t="str">
        <f t="shared" si="3"/>
        <v>02</v>
      </c>
      <c r="D89" s="2">
        <v>42409.577777777777</v>
      </c>
      <c r="E89" s="2" t="str">
        <f t="shared" si="3"/>
        <v>02</v>
      </c>
      <c r="F89" t="s">
        <v>55</v>
      </c>
      <c r="G89" t="s">
        <v>56</v>
      </c>
      <c r="H89" t="s">
        <v>57</v>
      </c>
      <c r="I89">
        <v>5.0999999999999996</v>
      </c>
    </row>
    <row r="90" spans="1:10" x14ac:dyDescent="0.25">
      <c r="A90" s="1">
        <v>88</v>
      </c>
      <c r="B90" s="2">
        <v>42409.581944444442</v>
      </c>
      <c r="C90" s="2" t="str">
        <f t="shared" si="3"/>
        <v>02</v>
      </c>
      <c r="D90" s="2">
        <v>42409.584722222222</v>
      </c>
      <c r="E90" s="2" t="str">
        <f t="shared" si="3"/>
        <v>02</v>
      </c>
      <c r="F90" t="s">
        <v>55</v>
      </c>
      <c r="G90" t="s">
        <v>57</v>
      </c>
      <c r="H90" t="s">
        <v>38</v>
      </c>
      <c r="I90">
        <v>1.5</v>
      </c>
    </row>
    <row r="91" spans="1:10" x14ac:dyDescent="0.25">
      <c r="A91" s="1">
        <v>89</v>
      </c>
      <c r="B91" s="2">
        <v>42409.788194444453</v>
      </c>
      <c r="C91" s="2" t="str">
        <f t="shared" si="3"/>
        <v>02</v>
      </c>
      <c r="D91" s="2">
        <v>42409.799305555563</v>
      </c>
      <c r="E91" s="2" t="str">
        <f t="shared" si="3"/>
        <v>02</v>
      </c>
      <c r="F91" t="s">
        <v>7</v>
      </c>
      <c r="G91" t="s">
        <v>15</v>
      </c>
      <c r="H91" t="s">
        <v>16</v>
      </c>
      <c r="I91">
        <v>6.1</v>
      </c>
    </row>
    <row r="92" spans="1:10" x14ac:dyDescent="0.25">
      <c r="A92" s="1">
        <v>90</v>
      </c>
      <c r="B92" s="2">
        <v>42409.85</v>
      </c>
      <c r="C92" s="2" t="str">
        <f t="shared" si="3"/>
        <v>02</v>
      </c>
      <c r="D92" s="2">
        <v>42409.861111111109</v>
      </c>
      <c r="E92" s="2" t="str">
        <f t="shared" si="3"/>
        <v>02</v>
      </c>
      <c r="F92" t="s">
        <v>7</v>
      </c>
      <c r="G92" t="s">
        <v>16</v>
      </c>
      <c r="H92" t="s">
        <v>15</v>
      </c>
      <c r="I92">
        <v>6.1</v>
      </c>
      <c r="J92" t="s">
        <v>9</v>
      </c>
    </row>
    <row r="93" spans="1:10" x14ac:dyDescent="0.25">
      <c r="A93" s="1">
        <v>91</v>
      </c>
      <c r="B93" s="2">
        <v>42411.686111111107</v>
      </c>
      <c r="C93" s="2" t="str">
        <f t="shared" si="3"/>
        <v>02</v>
      </c>
      <c r="D93" s="2">
        <v>42411.715277777781</v>
      </c>
      <c r="E93" s="2" t="str">
        <f t="shared" si="3"/>
        <v>02</v>
      </c>
      <c r="F93" t="s">
        <v>7</v>
      </c>
      <c r="G93" t="s">
        <v>15</v>
      </c>
      <c r="H93" t="s">
        <v>40</v>
      </c>
      <c r="I93">
        <v>17.3</v>
      </c>
      <c r="J93" t="s">
        <v>9</v>
      </c>
    </row>
    <row r="94" spans="1:10" x14ac:dyDescent="0.25">
      <c r="A94" s="1">
        <v>92</v>
      </c>
      <c r="B94" s="2">
        <v>42411.742361111108</v>
      </c>
      <c r="C94" s="2" t="str">
        <f t="shared" si="3"/>
        <v>02</v>
      </c>
      <c r="D94" s="2">
        <v>42411.756944444453</v>
      </c>
      <c r="E94" s="2" t="str">
        <f t="shared" si="3"/>
        <v>02</v>
      </c>
      <c r="F94" t="s">
        <v>7</v>
      </c>
      <c r="G94" t="s">
        <v>58</v>
      </c>
      <c r="H94" t="s">
        <v>59</v>
      </c>
      <c r="I94">
        <v>5.7</v>
      </c>
      <c r="J94" t="s">
        <v>9</v>
      </c>
    </row>
    <row r="95" spans="1:10" x14ac:dyDescent="0.25">
      <c r="A95" s="1">
        <v>93</v>
      </c>
      <c r="B95" s="2">
        <v>42411.76666666667</v>
      </c>
      <c r="C95" s="2" t="str">
        <f t="shared" si="3"/>
        <v>02</v>
      </c>
      <c r="D95" s="2">
        <v>42411.781944444447</v>
      </c>
      <c r="E95" s="2" t="str">
        <f t="shared" si="3"/>
        <v>02</v>
      </c>
      <c r="F95" t="s">
        <v>7</v>
      </c>
      <c r="G95" t="s">
        <v>40</v>
      </c>
      <c r="H95" t="s">
        <v>16</v>
      </c>
      <c r="I95">
        <v>13.5</v>
      </c>
      <c r="J95" t="s">
        <v>24</v>
      </c>
    </row>
    <row r="96" spans="1:10" x14ac:dyDescent="0.25">
      <c r="A96" s="1">
        <v>94</v>
      </c>
      <c r="B96" s="2">
        <v>42411.85833333333</v>
      </c>
      <c r="C96" s="2" t="str">
        <f t="shared" si="3"/>
        <v>02</v>
      </c>
      <c r="D96" s="2">
        <v>42411.868750000001</v>
      </c>
      <c r="E96" s="2" t="str">
        <f t="shared" si="3"/>
        <v>02</v>
      </c>
      <c r="F96" t="s">
        <v>7</v>
      </c>
      <c r="G96" t="s">
        <v>16</v>
      </c>
      <c r="H96" t="s">
        <v>15</v>
      </c>
      <c r="I96">
        <v>6.1</v>
      </c>
      <c r="J96" t="s">
        <v>24</v>
      </c>
    </row>
    <row r="97" spans="1:10" x14ac:dyDescent="0.25">
      <c r="A97" s="1">
        <v>95</v>
      </c>
      <c r="B97" s="2">
        <v>42412.347916666673</v>
      </c>
      <c r="C97" s="2" t="str">
        <f t="shared" si="3"/>
        <v>02</v>
      </c>
      <c r="D97" s="2">
        <v>42412.362500000003</v>
      </c>
      <c r="E97" s="2" t="str">
        <f t="shared" si="3"/>
        <v>02</v>
      </c>
      <c r="F97" t="s">
        <v>7</v>
      </c>
      <c r="G97" t="s">
        <v>15</v>
      </c>
      <c r="H97" t="s">
        <v>36</v>
      </c>
      <c r="I97">
        <v>8.5</v>
      </c>
      <c r="J97" t="s">
        <v>24</v>
      </c>
    </row>
    <row r="98" spans="1:10" x14ac:dyDescent="0.25">
      <c r="A98" s="1">
        <v>96</v>
      </c>
      <c r="B98" s="2">
        <v>42412.447916666657</v>
      </c>
      <c r="C98" s="2" t="str">
        <f t="shared" si="3"/>
        <v>02</v>
      </c>
      <c r="D98" s="2">
        <v>42412.452777777777</v>
      </c>
      <c r="E98" s="2" t="str">
        <f t="shared" si="3"/>
        <v>02</v>
      </c>
      <c r="F98" t="s">
        <v>7</v>
      </c>
      <c r="G98" t="s">
        <v>36</v>
      </c>
      <c r="H98" t="s">
        <v>16</v>
      </c>
      <c r="I98">
        <v>2.6</v>
      </c>
      <c r="J98" t="s">
        <v>24</v>
      </c>
    </row>
    <row r="99" spans="1:10" x14ac:dyDescent="0.25">
      <c r="A99" s="1">
        <v>97</v>
      </c>
      <c r="B99" s="2">
        <v>42412.468055555553</v>
      </c>
      <c r="C99" s="2" t="str">
        <f t="shared" si="3"/>
        <v>02</v>
      </c>
      <c r="D99" s="2">
        <v>42412.482638888891</v>
      </c>
      <c r="E99" s="2" t="str">
        <f t="shared" si="3"/>
        <v>02</v>
      </c>
      <c r="F99" t="s">
        <v>7</v>
      </c>
      <c r="G99" t="s">
        <v>16</v>
      </c>
      <c r="H99" t="s">
        <v>40</v>
      </c>
      <c r="I99">
        <v>17</v>
      </c>
      <c r="J99" t="s">
        <v>13</v>
      </c>
    </row>
    <row r="100" spans="1:10" x14ac:dyDescent="0.25">
      <c r="A100" s="1">
        <v>98</v>
      </c>
      <c r="B100" s="2">
        <v>42412.543055555558</v>
      </c>
      <c r="C100" s="2" t="str">
        <f t="shared" si="3"/>
        <v>02</v>
      </c>
      <c r="D100" s="2">
        <v>42412.566666666673</v>
      </c>
      <c r="E100" s="2" t="str">
        <f t="shared" si="3"/>
        <v>02</v>
      </c>
      <c r="F100" t="s">
        <v>7</v>
      </c>
      <c r="G100" t="s">
        <v>40</v>
      </c>
      <c r="H100" t="s">
        <v>15</v>
      </c>
      <c r="I100">
        <v>18</v>
      </c>
      <c r="J100" t="s">
        <v>11</v>
      </c>
    </row>
    <row r="101" spans="1:10" x14ac:dyDescent="0.25">
      <c r="A101" s="1">
        <v>99</v>
      </c>
      <c r="B101" s="2">
        <v>42412.617361111108</v>
      </c>
      <c r="C101" s="2" t="str">
        <f t="shared" si="3"/>
        <v>02</v>
      </c>
      <c r="D101" s="2">
        <v>42412.629166666673</v>
      </c>
      <c r="E101" s="2" t="str">
        <f t="shared" si="3"/>
        <v>02</v>
      </c>
      <c r="F101" t="s">
        <v>7</v>
      </c>
      <c r="G101" t="s">
        <v>15</v>
      </c>
      <c r="H101" t="s">
        <v>16</v>
      </c>
      <c r="I101">
        <v>8.4</v>
      </c>
      <c r="J101" t="s">
        <v>11</v>
      </c>
    </row>
    <row r="102" spans="1:10" x14ac:dyDescent="0.25">
      <c r="A102" s="1">
        <v>100</v>
      </c>
      <c r="B102" s="2">
        <v>42412.647916666669</v>
      </c>
      <c r="C102" s="2" t="str">
        <f t="shared" si="3"/>
        <v>02</v>
      </c>
      <c r="D102" s="2">
        <v>42412.67083333333</v>
      </c>
      <c r="E102" s="2" t="str">
        <f t="shared" si="3"/>
        <v>02</v>
      </c>
      <c r="F102" t="s">
        <v>7</v>
      </c>
      <c r="G102" t="s">
        <v>16</v>
      </c>
      <c r="H102" t="s">
        <v>15</v>
      </c>
      <c r="I102">
        <v>11.5</v>
      </c>
      <c r="J102" t="s">
        <v>13</v>
      </c>
    </row>
    <row r="103" spans="1:10" x14ac:dyDescent="0.25">
      <c r="A103" s="1">
        <v>101</v>
      </c>
      <c r="B103" s="2">
        <v>42413.597916666673</v>
      </c>
      <c r="C103" s="2" t="str">
        <f t="shared" si="3"/>
        <v>02</v>
      </c>
      <c r="D103" s="2">
        <v>42413.611805555563</v>
      </c>
      <c r="E103" s="2" t="str">
        <f t="shared" si="3"/>
        <v>02</v>
      </c>
      <c r="F103" t="s">
        <v>7</v>
      </c>
      <c r="G103" t="s">
        <v>15</v>
      </c>
      <c r="H103" t="s">
        <v>16</v>
      </c>
      <c r="I103">
        <v>8.9</v>
      </c>
      <c r="J103" t="s">
        <v>11</v>
      </c>
    </row>
    <row r="104" spans="1:10" x14ac:dyDescent="0.25">
      <c r="A104" s="1">
        <v>102</v>
      </c>
      <c r="B104" s="2">
        <v>42413.989583333343</v>
      </c>
      <c r="C104" s="2" t="str">
        <f t="shared" si="3"/>
        <v>02</v>
      </c>
      <c r="D104" s="2">
        <v>42414.000694444447</v>
      </c>
      <c r="E104" s="2" t="str">
        <f t="shared" si="3"/>
        <v>02</v>
      </c>
      <c r="F104" t="s">
        <v>55</v>
      </c>
      <c r="G104" t="s">
        <v>60</v>
      </c>
      <c r="H104" t="s">
        <v>61</v>
      </c>
      <c r="I104">
        <v>2.7</v>
      </c>
    </row>
    <row r="105" spans="1:10" x14ac:dyDescent="0.25">
      <c r="A105" s="1">
        <v>103</v>
      </c>
      <c r="B105" s="2">
        <v>42414.034722222219</v>
      </c>
      <c r="C105" s="2" t="str">
        <f t="shared" si="3"/>
        <v>02</v>
      </c>
      <c r="D105" s="2">
        <v>42414.041666666657</v>
      </c>
      <c r="E105" s="2" t="str">
        <f t="shared" si="3"/>
        <v>02</v>
      </c>
      <c r="F105" t="s">
        <v>55</v>
      </c>
      <c r="G105" t="s">
        <v>61</v>
      </c>
      <c r="H105" t="s">
        <v>60</v>
      </c>
      <c r="I105">
        <v>1.8</v>
      </c>
    </row>
    <row r="106" spans="1:10" x14ac:dyDescent="0.25">
      <c r="A106" s="1">
        <v>104</v>
      </c>
      <c r="B106" s="2">
        <v>42414.588194444441</v>
      </c>
      <c r="C106" s="2" t="str">
        <f t="shared" si="3"/>
        <v>02</v>
      </c>
      <c r="D106" s="2">
        <v>42414.611111111109</v>
      </c>
      <c r="E106" s="2" t="str">
        <f t="shared" si="3"/>
        <v>02</v>
      </c>
      <c r="F106" t="s">
        <v>7</v>
      </c>
      <c r="G106" t="s">
        <v>60</v>
      </c>
      <c r="H106" t="s">
        <v>18</v>
      </c>
      <c r="I106">
        <v>8.1</v>
      </c>
      <c r="J106" t="s">
        <v>11</v>
      </c>
    </row>
    <row r="107" spans="1:10" x14ac:dyDescent="0.25">
      <c r="A107" s="1">
        <v>105</v>
      </c>
      <c r="B107" s="2">
        <v>42414.615277777782</v>
      </c>
      <c r="C107" s="2" t="str">
        <f t="shared" si="3"/>
        <v>02</v>
      </c>
      <c r="D107" s="2">
        <v>42414.627083333333</v>
      </c>
      <c r="E107" s="2" t="str">
        <f t="shared" si="3"/>
        <v>02</v>
      </c>
      <c r="F107" t="s">
        <v>7</v>
      </c>
      <c r="G107" t="s">
        <v>21</v>
      </c>
      <c r="H107" t="s">
        <v>62</v>
      </c>
      <c r="I107">
        <v>2</v>
      </c>
      <c r="J107" t="s">
        <v>11</v>
      </c>
    </row>
    <row r="108" spans="1:10" x14ac:dyDescent="0.25">
      <c r="A108" s="1">
        <v>106</v>
      </c>
      <c r="B108" s="2">
        <v>42414.690972222219</v>
      </c>
      <c r="C108" s="2" t="str">
        <f t="shared" si="3"/>
        <v>02</v>
      </c>
      <c r="D108" s="2">
        <v>42414.709722222222</v>
      </c>
      <c r="E108" s="2" t="str">
        <f t="shared" si="3"/>
        <v>02</v>
      </c>
      <c r="F108" t="s">
        <v>7</v>
      </c>
      <c r="G108" t="s">
        <v>18</v>
      </c>
      <c r="H108" t="s">
        <v>63</v>
      </c>
      <c r="I108">
        <v>13</v>
      </c>
      <c r="J108" t="s">
        <v>11</v>
      </c>
    </row>
    <row r="109" spans="1:10" x14ac:dyDescent="0.25">
      <c r="A109" s="1">
        <v>107</v>
      </c>
      <c r="B109" s="2">
        <v>42414.712500000001</v>
      </c>
      <c r="C109" s="2" t="str">
        <f t="shared" si="3"/>
        <v>02</v>
      </c>
      <c r="D109" s="2">
        <v>42414.728472222218</v>
      </c>
      <c r="E109" s="2" t="str">
        <f t="shared" si="3"/>
        <v>02</v>
      </c>
      <c r="F109" t="s">
        <v>7</v>
      </c>
      <c r="G109" t="s">
        <v>63</v>
      </c>
      <c r="H109" t="s">
        <v>17</v>
      </c>
      <c r="I109">
        <v>13.9</v>
      </c>
      <c r="J109" t="s">
        <v>11</v>
      </c>
    </row>
    <row r="110" spans="1:10" x14ac:dyDescent="0.25">
      <c r="A110" s="1">
        <v>108</v>
      </c>
      <c r="B110" s="2">
        <v>42416.13958333333</v>
      </c>
      <c r="C110" s="2" t="str">
        <f t="shared" si="3"/>
        <v>02</v>
      </c>
      <c r="D110" s="2">
        <v>42416.175694444442</v>
      </c>
      <c r="E110" s="2" t="str">
        <f t="shared" si="3"/>
        <v>02</v>
      </c>
      <c r="F110" t="s">
        <v>7</v>
      </c>
      <c r="G110" t="s">
        <v>64</v>
      </c>
      <c r="H110" t="s">
        <v>65</v>
      </c>
      <c r="I110">
        <v>43.7</v>
      </c>
      <c r="J110" t="s">
        <v>13</v>
      </c>
    </row>
    <row r="111" spans="1:10" x14ac:dyDescent="0.25">
      <c r="A111" s="1">
        <v>109</v>
      </c>
      <c r="B111" s="2">
        <v>42416.353472222218</v>
      </c>
      <c r="C111" s="2" t="str">
        <f t="shared" si="3"/>
        <v>02</v>
      </c>
      <c r="D111" s="2">
        <v>42416.398611111108</v>
      </c>
      <c r="E111" s="2" t="str">
        <f t="shared" si="3"/>
        <v>02</v>
      </c>
      <c r="F111" t="s">
        <v>7</v>
      </c>
      <c r="G111" t="s">
        <v>65</v>
      </c>
      <c r="H111" t="s">
        <v>66</v>
      </c>
      <c r="I111">
        <v>14.1</v>
      </c>
    </row>
    <row r="112" spans="1:10" x14ac:dyDescent="0.25">
      <c r="A112" s="1">
        <v>110</v>
      </c>
      <c r="B112" s="2">
        <v>42416.438194444447</v>
      </c>
      <c r="C112" s="2" t="str">
        <f t="shared" si="3"/>
        <v>02</v>
      </c>
      <c r="D112" s="2">
        <v>42416.445138888892</v>
      </c>
      <c r="E112" s="2" t="str">
        <f t="shared" si="3"/>
        <v>02</v>
      </c>
      <c r="F112" t="s">
        <v>7</v>
      </c>
      <c r="G112" t="s">
        <v>66</v>
      </c>
      <c r="H112" t="s">
        <v>66</v>
      </c>
      <c r="I112">
        <v>2.6</v>
      </c>
    </row>
    <row r="113" spans="1:10" x14ac:dyDescent="0.25">
      <c r="A113" s="1">
        <v>111</v>
      </c>
      <c r="B113" s="2">
        <v>42416.480555555558</v>
      </c>
      <c r="C113" s="2" t="str">
        <f t="shared" si="3"/>
        <v>02</v>
      </c>
      <c r="D113" s="2">
        <v>42416.501388888893</v>
      </c>
      <c r="E113" s="2" t="str">
        <f t="shared" si="3"/>
        <v>02</v>
      </c>
      <c r="F113" t="s">
        <v>7</v>
      </c>
      <c r="G113" t="s">
        <v>66</v>
      </c>
      <c r="H113" t="s">
        <v>66</v>
      </c>
      <c r="I113">
        <v>4.5</v>
      </c>
    </row>
    <row r="114" spans="1:10" x14ac:dyDescent="0.25">
      <c r="A114" s="1">
        <v>112</v>
      </c>
      <c r="B114" s="2">
        <v>42416.527083333327</v>
      </c>
      <c r="C114" s="2" t="str">
        <f t="shared" si="3"/>
        <v>02</v>
      </c>
      <c r="D114" s="2">
        <v>42416.529166666667</v>
      </c>
      <c r="E114" s="2" t="str">
        <f t="shared" si="3"/>
        <v>02</v>
      </c>
      <c r="F114" t="s">
        <v>7</v>
      </c>
      <c r="G114" t="s">
        <v>66</v>
      </c>
      <c r="H114" t="s">
        <v>66</v>
      </c>
      <c r="I114">
        <v>1.7</v>
      </c>
    </row>
    <row r="115" spans="1:10" x14ac:dyDescent="0.25">
      <c r="A115" s="1">
        <v>113</v>
      </c>
      <c r="B115" s="2">
        <v>42416.571527777778</v>
      </c>
      <c r="C115" s="2" t="str">
        <f t="shared" si="3"/>
        <v>02</v>
      </c>
      <c r="D115" s="2">
        <v>42416.579861111109</v>
      </c>
      <c r="E115" s="2" t="str">
        <f t="shared" si="3"/>
        <v>02</v>
      </c>
      <c r="F115" t="s">
        <v>7</v>
      </c>
      <c r="G115" t="s">
        <v>66</v>
      </c>
      <c r="H115" t="s">
        <v>66</v>
      </c>
      <c r="I115">
        <v>1.8</v>
      </c>
      <c r="J115" t="s">
        <v>24</v>
      </c>
    </row>
    <row r="116" spans="1:10" x14ac:dyDescent="0.25">
      <c r="A116" s="1">
        <v>114</v>
      </c>
      <c r="B116" s="2">
        <v>42416.69027777778</v>
      </c>
      <c r="C116" s="2" t="str">
        <f t="shared" si="3"/>
        <v>02</v>
      </c>
      <c r="D116" s="2">
        <v>42416.715277777781</v>
      </c>
      <c r="E116" s="2" t="str">
        <f t="shared" si="3"/>
        <v>02</v>
      </c>
      <c r="F116" t="s">
        <v>7</v>
      </c>
      <c r="G116" t="s">
        <v>66</v>
      </c>
      <c r="H116" t="s">
        <v>66</v>
      </c>
      <c r="I116">
        <v>6</v>
      </c>
    </row>
    <row r="117" spans="1:10" x14ac:dyDescent="0.25">
      <c r="A117" s="1">
        <v>115</v>
      </c>
      <c r="B117" s="2">
        <v>42416.720138888893</v>
      </c>
      <c r="C117" s="2" t="str">
        <f t="shared" si="3"/>
        <v>02</v>
      </c>
      <c r="D117" s="2">
        <v>42416.726388888892</v>
      </c>
      <c r="E117" s="2" t="str">
        <f t="shared" si="3"/>
        <v>02</v>
      </c>
      <c r="F117" t="s">
        <v>7</v>
      </c>
      <c r="G117" t="s">
        <v>66</v>
      </c>
      <c r="H117" t="s">
        <v>67</v>
      </c>
      <c r="I117">
        <v>1.1000000000000001</v>
      </c>
      <c r="J117" t="s">
        <v>9</v>
      </c>
    </row>
    <row r="118" spans="1:10" x14ac:dyDescent="0.25">
      <c r="A118" s="1">
        <v>116</v>
      </c>
      <c r="B118" s="2">
        <v>42416.736111111109</v>
      </c>
      <c r="C118" s="2" t="str">
        <f t="shared" si="3"/>
        <v>02</v>
      </c>
      <c r="D118" s="2">
        <v>42416.738888888889</v>
      </c>
      <c r="E118" s="2" t="str">
        <f t="shared" si="3"/>
        <v>02</v>
      </c>
      <c r="F118" t="s">
        <v>7</v>
      </c>
      <c r="G118" t="s">
        <v>67</v>
      </c>
      <c r="H118" t="s">
        <v>65</v>
      </c>
      <c r="I118">
        <v>3.6</v>
      </c>
      <c r="J118" t="s">
        <v>10</v>
      </c>
    </row>
    <row r="119" spans="1:10" x14ac:dyDescent="0.25">
      <c r="A119" s="1">
        <v>117</v>
      </c>
      <c r="B119" s="2">
        <v>42417.554166666669</v>
      </c>
      <c r="C119" s="2" t="str">
        <f t="shared" si="3"/>
        <v>02</v>
      </c>
      <c r="D119" s="2">
        <v>42417.586111111108</v>
      </c>
      <c r="E119" s="2" t="str">
        <f t="shared" si="3"/>
        <v>02</v>
      </c>
      <c r="F119" t="s">
        <v>7</v>
      </c>
      <c r="G119" t="s">
        <v>65</v>
      </c>
      <c r="H119" t="s">
        <v>66</v>
      </c>
      <c r="I119">
        <v>14.7</v>
      </c>
      <c r="J119" t="s">
        <v>24</v>
      </c>
    </row>
    <row r="120" spans="1:10" x14ac:dyDescent="0.25">
      <c r="A120" s="1">
        <v>118</v>
      </c>
      <c r="B120" s="2">
        <v>42417.636805555558</v>
      </c>
      <c r="C120" s="2" t="str">
        <f t="shared" si="3"/>
        <v>02</v>
      </c>
      <c r="D120" s="2">
        <v>42417.640277777777</v>
      </c>
      <c r="E120" s="2" t="str">
        <f t="shared" si="3"/>
        <v>02</v>
      </c>
      <c r="F120" t="s">
        <v>7</v>
      </c>
      <c r="G120" t="s">
        <v>66</v>
      </c>
      <c r="H120" t="s">
        <v>66</v>
      </c>
      <c r="I120">
        <v>1.7</v>
      </c>
      <c r="J120" t="s">
        <v>9</v>
      </c>
    </row>
    <row r="121" spans="1:10" x14ac:dyDescent="0.25">
      <c r="A121" s="1">
        <v>119</v>
      </c>
      <c r="B121" s="2">
        <v>42417.647916666669</v>
      </c>
      <c r="C121" s="2" t="str">
        <f t="shared" si="3"/>
        <v>02</v>
      </c>
      <c r="D121" s="2">
        <v>42417.678472222222</v>
      </c>
      <c r="E121" s="2" t="str">
        <f t="shared" si="3"/>
        <v>02</v>
      </c>
      <c r="F121" t="s">
        <v>7</v>
      </c>
      <c r="G121" t="s">
        <v>66</v>
      </c>
      <c r="H121" t="s">
        <v>64</v>
      </c>
      <c r="I121">
        <v>21.4</v>
      </c>
      <c r="J121" t="s">
        <v>24</v>
      </c>
    </row>
    <row r="122" spans="1:10" x14ac:dyDescent="0.25">
      <c r="A122" s="1">
        <v>120</v>
      </c>
      <c r="B122" s="2">
        <v>42417.693055555559</v>
      </c>
      <c r="C122" s="2" t="str">
        <f t="shared" si="3"/>
        <v>02</v>
      </c>
      <c r="D122" s="2">
        <v>42417.696527777778</v>
      </c>
      <c r="E122" s="2" t="str">
        <f t="shared" si="3"/>
        <v>02</v>
      </c>
      <c r="F122" t="s">
        <v>7</v>
      </c>
      <c r="G122" t="s">
        <v>64</v>
      </c>
      <c r="H122" t="s">
        <v>64</v>
      </c>
      <c r="I122">
        <v>0.5</v>
      </c>
      <c r="J122" t="s">
        <v>10</v>
      </c>
    </row>
    <row r="123" spans="1:10" x14ac:dyDescent="0.25">
      <c r="A123" s="1">
        <v>122</v>
      </c>
      <c r="B123" s="2">
        <v>42418.585416666669</v>
      </c>
      <c r="C123" s="2" t="str">
        <f t="shared" si="3"/>
        <v>02</v>
      </c>
      <c r="D123" s="2">
        <v>42418.614583333343</v>
      </c>
      <c r="E123" s="2" t="str">
        <f t="shared" si="3"/>
        <v>02</v>
      </c>
      <c r="F123" t="s">
        <v>7</v>
      </c>
      <c r="G123" t="s">
        <v>65</v>
      </c>
      <c r="H123" t="s">
        <v>68</v>
      </c>
      <c r="I123">
        <v>12.7</v>
      </c>
      <c r="J123" t="s">
        <v>24</v>
      </c>
    </row>
    <row r="124" spans="1:10" x14ac:dyDescent="0.25">
      <c r="A124" s="1">
        <v>123</v>
      </c>
      <c r="B124" s="2">
        <v>42418.636111111111</v>
      </c>
      <c r="C124" s="2" t="str">
        <f t="shared" si="3"/>
        <v>02</v>
      </c>
      <c r="D124" s="2">
        <v>42418.646527777782</v>
      </c>
      <c r="E124" s="2" t="str">
        <f t="shared" si="3"/>
        <v>02</v>
      </c>
      <c r="F124" t="s">
        <v>7</v>
      </c>
      <c r="G124" t="s">
        <v>68</v>
      </c>
      <c r="H124" t="s">
        <v>65</v>
      </c>
      <c r="I124">
        <v>6</v>
      </c>
      <c r="J124" t="s">
        <v>24</v>
      </c>
    </row>
    <row r="125" spans="1:10" x14ac:dyDescent="0.25">
      <c r="A125" s="1">
        <v>124</v>
      </c>
      <c r="B125" s="2">
        <v>42418.780555555553</v>
      </c>
      <c r="C125" s="2" t="str">
        <f t="shared" si="3"/>
        <v>02</v>
      </c>
      <c r="D125" s="2">
        <v>42418.790277777778</v>
      </c>
      <c r="E125" s="2" t="str">
        <f t="shared" si="3"/>
        <v>02</v>
      </c>
      <c r="F125" t="s">
        <v>7</v>
      </c>
      <c r="G125" t="s">
        <v>65</v>
      </c>
      <c r="H125" t="s">
        <v>68</v>
      </c>
      <c r="I125">
        <v>5.2</v>
      </c>
      <c r="J125" t="s">
        <v>13</v>
      </c>
    </row>
    <row r="126" spans="1:10" x14ac:dyDescent="0.25">
      <c r="A126" s="1">
        <v>125</v>
      </c>
      <c r="B126" s="2">
        <v>42418.810416666667</v>
      </c>
      <c r="C126" s="2" t="str">
        <f t="shared" si="3"/>
        <v>02</v>
      </c>
      <c r="D126" s="2">
        <v>42418.838888888888</v>
      </c>
      <c r="E126" s="2" t="str">
        <f t="shared" si="3"/>
        <v>02</v>
      </c>
      <c r="F126" t="s">
        <v>7</v>
      </c>
      <c r="G126" t="s">
        <v>68</v>
      </c>
      <c r="H126" t="s">
        <v>65</v>
      </c>
      <c r="I126">
        <v>10</v>
      </c>
      <c r="J126" t="s">
        <v>11</v>
      </c>
    </row>
    <row r="127" spans="1:10" x14ac:dyDescent="0.25">
      <c r="A127" s="1">
        <v>128</v>
      </c>
      <c r="B127" s="2">
        <v>42419.431250000001</v>
      </c>
      <c r="C127" s="2" t="str">
        <f t="shared" si="3"/>
        <v>02</v>
      </c>
      <c r="D127" s="2">
        <v>42419.45</v>
      </c>
      <c r="E127" s="2" t="str">
        <f t="shared" si="3"/>
        <v>02</v>
      </c>
      <c r="F127" t="s">
        <v>7</v>
      </c>
      <c r="G127" t="s">
        <v>65</v>
      </c>
      <c r="H127" t="s">
        <v>68</v>
      </c>
      <c r="I127">
        <v>7.6</v>
      </c>
      <c r="J127" t="s">
        <v>11</v>
      </c>
    </row>
    <row r="128" spans="1:10" x14ac:dyDescent="0.25">
      <c r="A128" s="1">
        <v>129</v>
      </c>
      <c r="B128" s="2">
        <v>42419.472222222219</v>
      </c>
      <c r="C128" s="2" t="str">
        <f t="shared" si="3"/>
        <v>02</v>
      </c>
      <c r="D128" s="2">
        <v>42419.476388888892</v>
      </c>
      <c r="E128" s="2" t="str">
        <f t="shared" si="3"/>
        <v>02</v>
      </c>
      <c r="F128" t="s">
        <v>55</v>
      </c>
      <c r="G128" t="s">
        <v>68</v>
      </c>
      <c r="H128" t="s">
        <v>68</v>
      </c>
      <c r="I128">
        <v>1.5</v>
      </c>
    </row>
    <row r="129" spans="1:10" x14ac:dyDescent="0.25">
      <c r="A129" s="1">
        <v>130</v>
      </c>
      <c r="B129" s="2">
        <v>42419.489583333343</v>
      </c>
      <c r="C129" s="2" t="str">
        <f t="shared" si="3"/>
        <v>02</v>
      </c>
      <c r="D129" s="2">
        <v>42419.493055555547</v>
      </c>
      <c r="E129" s="2" t="str">
        <f t="shared" si="3"/>
        <v>02</v>
      </c>
      <c r="F129" t="s">
        <v>55</v>
      </c>
      <c r="G129" t="s">
        <v>68</v>
      </c>
      <c r="H129" t="s">
        <v>68</v>
      </c>
      <c r="I129">
        <v>1</v>
      </c>
    </row>
    <row r="130" spans="1:10" x14ac:dyDescent="0.25">
      <c r="A130" s="1">
        <v>131</v>
      </c>
      <c r="B130" s="2">
        <v>42419.506249999999</v>
      </c>
      <c r="C130" s="2" t="str">
        <f t="shared" si="3"/>
        <v>02</v>
      </c>
      <c r="D130" s="2">
        <v>42419.518750000003</v>
      </c>
      <c r="E130" s="2" t="str">
        <f t="shared" si="3"/>
        <v>02</v>
      </c>
      <c r="F130" t="s">
        <v>7</v>
      </c>
      <c r="G130" t="s">
        <v>68</v>
      </c>
      <c r="H130" t="s">
        <v>65</v>
      </c>
      <c r="I130">
        <v>7.3</v>
      </c>
      <c r="J130" t="s">
        <v>24</v>
      </c>
    </row>
    <row r="131" spans="1:10" x14ac:dyDescent="0.25">
      <c r="A131" s="1">
        <v>132</v>
      </c>
      <c r="B131" s="2">
        <v>42419.68472222222</v>
      </c>
      <c r="C131" s="2" t="str">
        <f t="shared" ref="C131:E194" si="4" xml:space="preserve"> TEXT(B131, "mm")</f>
        <v>02</v>
      </c>
      <c r="D131" s="2">
        <v>42419.697916666657</v>
      </c>
      <c r="E131" s="2" t="str">
        <f t="shared" si="4"/>
        <v>02</v>
      </c>
      <c r="F131" t="s">
        <v>7</v>
      </c>
      <c r="G131" t="s">
        <v>65</v>
      </c>
      <c r="H131" t="s">
        <v>68</v>
      </c>
      <c r="I131">
        <v>3.5</v>
      </c>
    </row>
    <row r="132" spans="1:10" x14ac:dyDescent="0.25">
      <c r="A132" s="1">
        <v>133</v>
      </c>
      <c r="B132" s="2">
        <v>42419.714583333327</v>
      </c>
      <c r="C132" s="2" t="str">
        <f t="shared" si="4"/>
        <v>02</v>
      </c>
      <c r="D132" s="2">
        <v>42419.722222222219</v>
      </c>
      <c r="E132" s="2" t="str">
        <f t="shared" si="4"/>
        <v>02</v>
      </c>
      <c r="F132" t="s">
        <v>7</v>
      </c>
      <c r="G132" t="s">
        <v>68</v>
      </c>
      <c r="H132" t="s">
        <v>68</v>
      </c>
      <c r="I132">
        <v>4.2</v>
      </c>
    </row>
    <row r="133" spans="1:10" x14ac:dyDescent="0.25">
      <c r="A133" s="1">
        <v>134</v>
      </c>
      <c r="B133" s="2">
        <v>42419.838888888888</v>
      </c>
      <c r="C133" s="2" t="str">
        <f t="shared" si="4"/>
        <v>02</v>
      </c>
      <c r="D133" s="2">
        <v>42419.854166666657</v>
      </c>
      <c r="E133" s="2" t="str">
        <f t="shared" si="4"/>
        <v>02</v>
      </c>
      <c r="F133" t="s">
        <v>55</v>
      </c>
      <c r="G133" t="s">
        <v>68</v>
      </c>
      <c r="H133" t="s">
        <v>65</v>
      </c>
      <c r="I133">
        <v>13.6</v>
      </c>
    </row>
    <row r="134" spans="1:10" x14ac:dyDescent="0.25">
      <c r="A134" s="1">
        <v>136</v>
      </c>
      <c r="B134" s="2">
        <v>42420.332638888889</v>
      </c>
      <c r="C134" s="2" t="str">
        <f t="shared" si="4"/>
        <v>02</v>
      </c>
      <c r="D134" s="2">
        <v>42420.355555555558</v>
      </c>
      <c r="E134" s="2" t="str">
        <f t="shared" si="4"/>
        <v>02</v>
      </c>
      <c r="F134" t="s">
        <v>55</v>
      </c>
      <c r="G134" t="s">
        <v>65</v>
      </c>
      <c r="H134" t="s">
        <v>68</v>
      </c>
      <c r="I134">
        <v>14.4</v>
      </c>
    </row>
    <row r="135" spans="1:10" x14ac:dyDescent="0.25">
      <c r="A135" s="1">
        <v>137</v>
      </c>
      <c r="B135" s="2">
        <v>42420.45</v>
      </c>
      <c r="C135" s="2" t="str">
        <f t="shared" si="4"/>
        <v>02</v>
      </c>
      <c r="D135" s="2">
        <v>42420.455555555563</v>
      </c>
      <c r="E135" s="2" t="str">
        <f t="shared" si="4"/>
        <v>02</v>
      </c>
      <c r="F135" t="s">
        <v>55</v>
      </c>
      <c r="G135" t="s">
        <v>68</v>
      </c>
      <c r="H135" t="s">
        <v>68</v>
      </c>
      <c r="I135">
        <v>3</v>
      </c>
    </row>
    <row r="136" spans="1:10" x14ac:dyDescent="0.25">
      <c r="A136" s="1">
        <v>138</v>
      </c>
      <c r="B136" s="2">
        <v>42420.489583333343</v>
      </c>
      <c r="C136" s="2" t="str">
        <f t="shared" si="4"/>
        <v>02</v>
      </c>
      <c r="D136" s="2">
        <v>42420.495138888888</v>
      </c>
      <c r="E136" s="2" t="str">
        <f t="shared" si="4"/>
        <v>02</v>
      </c>
      <c r="F136" t="s">
        <v>55</v>
      </c>
      <c r="G136" t="s">
        <v>68</v>
      </c>
      <c r="H136" t="s">
        <v>68</v>
      </c>
      <c r="I136">
        <v>1.5</v>
      </c>
    </row>
    <row r="137" spans="1:10" x14ac:dyDescent="0.25">
      <c r="A137" s="1">
        <v>139</v>
      </c>
      <c r="B137" s="2">
        <v>42420.52847222222</v>
      </c>
      <c r="C137" s="2" t="str">
        <f t="shared" si="4"/>
        <v>02</v>
      </c>
      <c r="D137" s="2">
        <v>42420.553472222222</v>
      </c>
      <c r="E137" s="2" t="str">
        <f t="shared" si="4"/>
        <v>02</v>
      </c>
      <c r="F137" t="s">
        <v>7</v>
      </c>
      <c r="G137" t="s">
        <v>68</v>
      </c>
      <c r="H137" t="s">
        <v>69</v>
      </c>
      <c r="I137">
        <v>18.399999999999999</v>
      </c>
    </row>
    <row r="138" spans="1:10" x14ac:dyDescent="0.25">
      <c r="A138" s="1">
        <v>140</v>
      </c>
      <c r="B138" s="2">
        <v>42420.618055555547</v>
      </c>
      <c r="C138" s="2" t="str">
        <f t="shared" si="4"/>
        <v>02</v>
      </c>
      <c r="D138" s="2">
        <v>42420.662499999999</v>
      </c>
      <c r="E138" s="2" t="str">
        <f t="shared" si="4"/>
        <v>02</v>
      </c>
      <c r="F138" t="s">
        <v>7</v>
      </c>
      <c r="G138" t="s">
        <v>69</v>
      </c>
      <c r="H138" t="s">
        <v>69</v>
      </c>
      <c r="I138">
        <v>23.1</v>
      </c>
      <c r="J138" t="s">
        <v>11</v>
      </c>
    </row>
    <row r="139" spans="1:10" x14ac:dyDescent="0.25">
      <c r="A139" s="1">
        <v>141</v>
      </c>
      <c r="B139" s="2">
        <v>42420.707638888889</v>
      </c>
      <c r="C139" s="2" t="str">
        <f t="shared" si="4"/>
        <v>02</v>
      </c>
      <c r="D139" s="2">
        <v>42420.745833333327</v>
      </c>
      <c r="E139" s="2" t="str">
        <f t="shared" si="4"/>
        <v>02</v>
      </c>
      <c r="F139" t="s">
        <v>55</v>
      </c>
      <c r="G139" t="s">
        <v>69</v>
      </c>
      <c r="H139" t="s">
        <v>65</v>
      </c>
      <c r="I139">
        <v>16.5</v>
      </c>
    </row>
    <row r="140" spans="1:10" x14ac:dyDescent="0.25">
      <c r="A140" s="1">
        <v>144</v>
      </c>
      <c r="B140" s="2">
        <v>42421.379861111112</v>
      </c>
      <c r="C140" s="2" t="str">
        <f t="shared" si="4"/>
        <v>02</v>
      </c>
      <c r="D140" s="2">
        <v>42421.406944444447</v>
      </c>
      <c r="E140" s="2" t="str">
        <f t="shared" si="4"/>
        <v>02</v>
      </c>
      <c r="F140" t="s">
        <v>7</v>
      </c>
      <c r="G140" t="s">
        <v>65</v>
      </c>
      <c r="H140" t="s">
        <v>68</v>
      </c>
      <c r="I140">
        <v>14.5</v>
      </c>
    </row>
    <row r="141" spans="1:10" x14ac:dyDescent="0.25">
      <c r="A141" s="1">
        <v>145</v>
      </c>
      <c r="B141" s="2">
        <v>42421.48541666667</v>
      </c>
      <c r="C141" s="2" t="str">
        <f t="shared" si="4"/>
        <v>02</v>
      </c>
      <c r="D141" s="2">
        <v>42421.488194444442</v>
      </c>
      <c r="E141" s="2" t="str">
        <f t="shared" si="4"/>
        <v>02</v>
      </c>
      <c r="F141" t="s">
        <v>7</v>
      </c>
      <c r="G141" t="s">
        <v>65</v>
      </c>
      <c r="H141" t="s">
        <v>68</v>
      </c>
      <c r="I141">
        <v>2.4</v>
      </c>
      <c r="J141" t="s">
        <v>10</v>
      </c>
    </row>
    <row r="142" spans="1:10" x14ac:dyDescent="0.25">
      <c r="A142" s="1">
        <v>146</v>
      </c>
      <c r="B142" s="2">
        <v>42421.490972222222</v>
      </c>
      <c r="C142" s="2" t="str">
        <f t="shared" si="4"/>
        <v>02</v>
      </c>
      <c r="D142" s="2">
        <v>42421.500694444447</v>
      </c>
      <c r="E142" s="2" t="str">
        <f t="shared" si="4"/>
        <v>02</v>
      </c>
      <c r="F142" t="s">
        <v>7</v>
      </c>
      <c r="G142" t="s">
        <v>68</v>
      </c>
      <c r="H142" t="s">
        <v>68</v>
      </c>
      <c r="I142">
        <v>4.5999999999999996</v>
      </c>
      <c r="J142" t="s">
        <v>10</v>
      </c>
    </row>
    <row r="143" spans="1:10" x14ac:dyDescent="0.25">
      <c r="A143" s="1">
        <v>147</v>
      </c>
      <c r="B143" s="2">
        <v>42421.509027777778</v>
      </c>
      <c r="C143" s="2" t="str">
        <f t="shared" si="4"/>
        <v>02</v>
      </c>
      <c r="D143" s="2">
        <v>42421.524305555547</v>
      </c>
      <c r="E143" s="2" t="str">
        <f t="shared" si="4"/>
        <v>02</v>
      </c>
      <c r="F143" t="s">
        <v>7</v>
      </c>
      <c r="G143" t="s">
        <v>68</v>
      </c>
      <c r="H143" t="s">
        <v>65</v>
      </c>
      <c r="I143">
        <v>8.8000000000000007</v>
      </c>
      <c r="J143" t="s">
        <v>9</v>
      </c>
    </row>
    <row r="144" spans="1:10" x14ac:dyDescent="0.25">
      <c r="A144" s="1">
        <v>150</v>
      </c>
      <c r="B144" s="2">
        <v>42421.60833333333</v>
      </c>
      <c r="C144" s="2" t="str">
        <f t="shared" si="4"/>
        <v>02</v>
      </c>
      <c r="D144" s="2">
        <v>42421.627083333333</v>
      </c>
      <c r="E144" s="2" t="str">
        <f t="shared" si="4"/>
        <v>02</v>
      </c>
      <c r="F144" t="s">
        <v>7</v>
      </c>
      <c r="G144" t="s">
        <v>65</v>
      </c>
      <c r="H144" t="s">
        <v>68</v>
      </c>
      <c r="I144">
        <v>13</v>
      </c>
      <c r="J144" t="s">
        <v>24</v>
      </c>
    </row>
    <row r="145" spans="1:10" x14ac:dyDescent="0.25">
      <c r="A145" s="1">
        <v>151</v>
      </c>
      <c r="B145" s="2">
        <v>42421.634722222218</v>
      </c>
      <c r="C145" s="2" t="str">
        <f t="shared" si="4"/>
        <v>02</v>
      </c>
      <c r="D145" s="2">
        <v>42421.646527777782</v>
      </c>
      <c r="E145" s="2" t="str">
        <f t="shared" si="4"/>
        <v>02</v>
      </c>
      <c r="F145" t="s">
        <v>7</v>
      </c>
      <c r="G145" t="s">
        <v>68</v>
      </c>
      <c r="H145" t="s">
        <v>70</v>
      </c>
      <c r="I145">
        <v>8.1</v>
      </c>
      <c r="J145" t="s">
        <v>24</v>
      </c>
    </row>
    <row r="146" spans="1:10" x14ac:dyDescent="0.25">
      <c r="A146" s="1">
        <v>152</v>
      </c>
      <c r="B146" s="2">
        <v>42421.65</v>
      </c>
      <c r="C146" s="2" t="str">
        <f t="shared" si="4"/>
        <v>02</v>
      </c>
      <c r="D146" s="2">
        <v>42421.65347222222</v>
      </c>
      <c r="E146" s="2" t="str">
        <f t="shared" si="4"/>
        <v>02</v>
      </c>
      <c r="F146" t="s">
        <v>7</v>
      </c>
      <c r="G146" t="s">
        <v>70</v>
      </c>
      <c r="H146" t="s">
        <v>65</v>
      </c>
      <c r="I146">
        <v>2.2000000000000002</v>
      </c>
      <c r="J146" t="s">
        <v>9</v>
      </c>
    </row>
    <row r="147" spans="1:10" x14ac:dyDescent="0.25">
      <c r="A147" s="1">
        <v>154</v>
      </c>
      <c r="B147" s="2">
        <v>42421.96875</v>
      </c>
      <c r="C147" s="2" t="str">
        <f t="shared" si="4"/>
        <v>02</v>
      </c>
      <c r="D147" s="2">
        <v>42421.994444444441</v>
      </c>
      <c r="E147" s="2" t="str">
        <f t="shared" si="4"/>
        <v>02</v>
      </c>
      <c r="F147" t="s">
        <v>7</v>
      </c>
      <c r="G147" t="s">
        <v>65</v>
      </c>
      <c r="H147" t="s">
        <v>69</v>
      </c>
      <c r="I147">
        <v>20</v>
      </c>
      <c r="J147" t="s">
        <v>11</v>
      </c>
    </row>
    <row r="148" spans="1:10" x14ac:dyDescent="0.25">
      <c r="A148" s="1">
        <v>155</v>
      </c>
      <c r="B148" s="2">
        <v>42422.912499999999</v>
      </c>
      <c r="C148" s="2" t="str">
        <f t="shared" si="4"/>
        <v>02</v>
      </c>
      <c r="D148" s="2">
        <v>42422.92291666667</v>
      </c>
      <c r="E148" s="2" t="str">
        <f t="shared" si="4"/>
        <v>02</v>
      </c>
      <c r="F148" t="s">
        <v>7</v>
      </c>
      <c r="G148" t="s">
        <v>16</v>
      </c>
      <c r="H148" t="s">
        <v>15</v>
      </c>
      <c r="I148">
        <v>8.1</v>
      </c>
      <c r="J148" t="s">
        <v>13</v>
      </c>
    </row>
    <row r="149" spans="1:10" x14ac:dyDescent="0.25">
      <c r="A149" s="1">
        <v>156</v>
      </c>
      <c r="B149" s="2">
        <v>42424.604166666657</v>
      </c>
      <c r="C149" s="2" t="str">
        <f t="shared" si="4"/>
        <v>02</v>
      </c>
      <c r="D149" s="2">
        <v>42424.607638888891</v>
      </c>
      <c r="E149" s="2" t="str">
        <f t="shared" si="4"/>
        <v>02</v>
      </c>
      <c r="F149" t="s">
        <v>7</v>
      </c>
      <c r="G149" t="s">
        <v>38</v>
      </c>
      <c r="H149" t="s">
        <v>57</v>
      </c>
      <c r="I149">
        <v>1.5</v>
      </c>
    </row>
    <row r="150" spans="1:10" x14ac:dyDescent="0.25">
      <c r="A150" s="1">
        <v>157</v>
      </c>
      <c r="B150" s="2">
        <v>42424.638194444437</v>
      </c>
      <c r="C150" s="2" t="str">
        <f t="shared" si="4"/>
        <v>02</v>
      </c>
      <c r="D150" s="2">
        <v>42424.642361111109</v>
      </c>
      <c r="E150" s="2" t="str">
        <f t="shared" si="4"/>
        <v>02</v>
      </c>
      <c r="F150" t="s">
        <v>7</v>
      </c>
      <c r="G150" t="s">
        <v>57</v>
      </c>
      <c r="H150" t="s">
        <v>38</v>
      </c>
      <c r="I150">
        <v>1.7</v>
      </c>
      <c r="J150" t="s">
        <v>10</v>
      </c>
    </row>
    <row r="151" spans="1:10" x14ac:dyDescent="0.25">
      <c r="A151" s="1">
        <v>158</v>
      </c>
      <c r="B151" s="2">
        <v>42425.685416666667</v>
      </c>
      <c r="C151" s="2" t="str">
        <f t="shared" si="4"/>
        <v>02</v>
      </c>
      <c r="D151" s="2">
        <v>42425.690972222219</v>
      </c>
      <c r="E151" s="2" t="str">
        <f t="shared" si="4"/>
        <v>02</v>
      </c>
      <c r="F151" t="s">
        <v>7</v>
      </c>
      <c r="G151" t="s">
        <v>38</v>
      </c>
      <c r="H151" t="s">
        <v>71</v>
      </c>
      <c r="I151">
        <v>3.1</v>
      </c>
      <c r="J151" t="s">
        <v>10</v>
      </c>
    </row>
    <row r="152" spans="1:10" x14ac:dyDescent="0.25">
      <c r="A152" s="1">
        <v>159</v>
      </c>
      <c r="B152" s="2">
        <v>42425.699305555558</v>
      </c>
      <c r="C152" s="2" t="str">
        <f t="shared" si="4"/>
        <v>02</v>
      </c>
      <c r="D152" s="2">
        <v>42425.709722222222</v>
      </c>
      <c r="E152" s="2" t="str">
        <f t="shared" si="4"/>
        <v>02</v>
      </c>
      <c r="F152" t="s">
        <v>7</v>
      </c>
      <c r="G152" t="s">
        <v>71</v>
      </c>
      <c r="H152" t="s">
        <v>38</v>
      </c>
      <c r="I152">
        <v>3.2</v>
      </c>
      <c r="J152" t="s">
        <v>10</v>
      </c>
    </row>
    <row r="153" spans="1:10" x14ac:dyDescent="0.25">
      <c r="A153" s="1">
        <v>160</v>
      </c>
      <c r="B153" s="2">
        <v>42425.719444444447</v>
      </c>
      <c r="C153" s="2" t="str">
        <f t="shared" si="4"/>
        <v>02</v>
      </c>
      <c r="D153" s="2">
        <v>42425.73333333333</v>
      </c>
      <c r="E153" s="2" t="str">
        <f t="shared" si="4"/>
        <v>02</v>
      </c>
      <c r="F153" t="s">
        <v>7</v>
      </c>
      <c r="G153" t="s">
        <v>38</v>
      </c>
      <c r="H153" t="s">
        <v>56</v>
      </c>
      <c r="I153">
        <v>6</v>
      </c>
      <c r="J153" t="s">
        <v>9</v>
      </c>
    </row>
    <row r="154" spans="1:10" x14ac:dyDescent="0.25">
      <c r="A154" s="1">
        <v>161</v>
      </c>
      <c r="B154" s="2">
        <v>42425.765277777777</v>
      </c>
      <c r="C154" s="2" t="str">
        <f t="shared" si="4"/>
        <v>02</v>
      </c>
      <c r="D154" s="2">
        <v>42425.777083333327</v>
      </c>
      <c r="E154" s="2" t="str">
        <f t="shared" si="4"/>
        <v>02</v>
      </c>
      <c r="F154" t="s">
        <v>7</v>
      </c>
      <c r="G154" t="s">
        <v>56</v>
      </c>
      <c r="H154" t="s">
        <v>38</v>
      </c>
      <c r="I154">
        <v>5.8</v>
      </c>
      <c r="J154" t="s">
        <v>9</v>
      </c>
    </row>
    <row r="155" spans="1:10" x14ac:dyDescent="0.25">
      <c r="A155" s="1">
        <v>162</v>
      </c>
      <c r="B155" s="2">
        <v>42426.379166666673</v>
      </c>
      <c r="C155" s="2" t="str">
        <f t="shared" si="4"/>
        <v>02</v>
      </c>
      <c r="D155" s="2">
        <v>42426.395138888889</v>
      </c>
      <c r="E155" s="2" t="str">
        <f t="shared" si="4"/>
        <v>02</v>
      </c>
      <c r="F155" t="s">
        <v>7</v>
      </c>
      <c r="G155" t="s">
        <v>38</v>
      </c>
      <c r="H155" t="s">
        <v>44</v>
      </c>
      <c r="I155">
        <v>6.3</v>
      </c>
    </row>
    <row r="156" spans="1:10" x14ac:dyDescent="0.25">
      <c r="A156" s="1">
        <v>163</v>
      </c>
      <c r="B156" s="2">
        <v>42426.461805555547</v>
      </c>
      <c r="C156" s="2" t="str">
        <f t="shared" si="4"/>
        <v>02</v>
      </c>
      <c r="D156" s="2">
        <v>42426.46597222222</v>
      </c>
      <c r="E156" s="2" t="str">
        <f t="shared" si="4"/>
        <v>02</v>
      </c>
      <c r="F156" t="s">
        <v>55</v>
      </c>
      <c r="G156" t="s">
        <v>44</v>
      </c>
      <c r="H156" t="s">
        <v>38</v>
      </c>
      <c r="I156">
        <v>1.7</v>
      </c>
    </row>
    <row r="157" spans="1:10" x14ac:dyDescent="0.25">
      <c r="A157" s="1">
        <v>164</v>
      </c>
      <c r="B157" s="2">
        <v>42426.482638888891</v>
      </c>
      <c r="C157" s="2" t="str">
        <f t="shared" si="4"/>
        <v>02</v>
      </c>
      <c r="D157" s="2">
        <v>42426.499305555553</v>
      </c>
      <c r="E157" s="2" t="str">
        <f t="shared" si="4"/>
        <v>02</v>
      </c>
      <c r="F157" t="s">
        <v>7</v>
      </c>
      <c r="G157" t="s">
        <v>15</v>
      </c>
      <c r="H157" t="s">
        <v>36</v>
      </c>
      <c r="I157">
        <v>10.6</v>
      </c>
      <c r="J157" t="s">
        <v>11</v>
      </c>
    </row>
    <row r="158" spans="1:10" x14ac:dyDescent="0.25">
      <c r="A158" s="1">
        <v>165</v>
      </c>
      <c r="B158" s="2">
        <v>42426.542361111111</v>
      </c>
      <c r="C158" s="2" t="str">
        <f t="shared" si="4"/>
        <v>02</v>
      </c>
      <c r="D158" s="2">
        <v>42426.558333333327</v>
      </c>
      <c r="E158" s="2" t="str">
        <f t="shared" si="4"/>
        <v>02</v>
      </c>
      <c r="F158" t="s">
        <v>7</v>
      </c>
      <c r="G158" t="s">
        <v>36</v>
      </c>
      <c r="H158" t="s">
        <v>15</v>
      </c>
      <c r="I158">
        <v>9.9</v>
      </c>
      <c r="J158" t="s">
        <v>11</v>
      </c>
    </row>
    <row r="159" spans="1:10" x14ac:dyDescent="0.25">
      <c r="A159" s="1">
        <v>166</v>
      </c>
      <c r="B159" s="2">
        <v>42426.609722222223</v>
      </c>
      <c r="C159" s="2" t="str">
        <f t="shared" si="4"/>
        <v>02</v>
      </c>
      <c r="D159" s="2">
        <v>42426.615277777782</v>
      </c>
      <c r="E159" s="2" t="str">
        <f t="shared" si="4"/>
        <v>02</v>
      </c>
      <c r="F159" t="s">
        <v>55</v>
      </c>
      <c r="G159" t="s">
        <v>38</v>
      </c>
      <c r="H159" t="s">
        <v>44</v>
      </c>
      <c r="I159">
        <v>1.9</v>
      </c>
    </row>
    <row r="160" spans="1:10" x14ac:dyDescent="0.25">
      <c r="A160" s="1">
        <v>167</v>
      </c>
      <c r="B160" s="2">
        <v>42426.625</v>
      </c>
      <c r="C160" s="2" t="str">
        <f t="shared" si="4"/>
        <v>02</v>
      </c>
      <c r="D160" s="2">
        <v>42426.637499999997</v>
      </c>
      <c r="E160" s="2" t="str">
        <f t="shared" si="4"/>
        <v>02</v>
      </c>
      <c r="F160" t="s">
        <v>55</v>
      </c>
      <c r="G160" t="s">
        <v>44</v>
      </c>
      <c r="H160" t="s">
        <v>43</v>
      </c>
      <c r="I160">
        <v>4.2</v>
      </c>
    </row>
    <row r="161" spans="1:10" x14ac:dyDescent="0.25">
      <c r="A161" s="1">
        <v>168</v>
      </c>
      <c r="B161" s="2">
        <v>42426.709027777782</v>
      </c>
      <c r="C161" s="2" t="str">
        <f t="shared" si="4"/>
        <v>02</v>
      </c>
      <c r="D161" s="2">
        <v>42426.716666666667</v>
      </c>
      <c r="E161" s="2" t="str">
        <f t="shared" si="4"/>
        <v>02</v>
      </c>
      <c r="F161" t="s">
        <v>55</v>
      </c>
      <c r="G161" t="s">
        <v>43</v>
      </c>
      <c r="H161" t="s">
        <v>38</v>
      </c>
      <c r="I161">
        <v>2</v>
      </c>
    </row>
    <row r="162" spans="1:10" x14ac:dyDescent="0.25">
      <c r="A162" s="1">
        <v>169</v>
      </c>
      <c r="B162" s="2">
        <v>42428.223611111112</v>
      </c>
      <c r="C162" s="2" t="str">
        <f t="shared" si="4"/>
        <v>02</v>
      </c>
      <c r="D162" s="2">
        <v>42428.234722222223</v>
      </c>
      <c r="E162" s="2" t="str">
        <f t="shared" si="4"/>
        <v>02</v>
      </c>
      <c r="F162" t="s">
        <v>7</v>
      </c>
      <c r="G162" t="s">
        <v>38</v>
      </c>
      <c r="H162" t="s">
        <v>72</v>
      </c>
      <c r="I162">
        <v>7.7</v>
      </c>
      <c r="J162" t="s">
        <v>11</v>
      </c>
    </row>
    <row r="163" spans="1:10" x14ac:dyDescent="0.25">
      <c r="A163" s="1">
        <v>170</v>
      </c>
      <c r="B163" s="2">
        <v>42428.393055555563</v>
      </c>
      <c r="C163" s="2" t="str">
        <f t="shared" si="4"/>
        <v>02</v>
      </c>
      <c r="D163" s="2">
        <v>42428.404166666667</v>
      </c>
      <c r="E163" s="2" t="str">
        <f t="shared" si="4"/>
        <v>02</v>
      </c>
      <c r="F163" t="s">
        <v>7</v>
      </c>
      <c r="G163" t="s">
        <v>72</v>
      </c>
      <c r="H163" t="s">
        <v>38</v>
      </c>
      <c r="I163">
        <v>6.8</v>
      </c>
      <c r="J163" t="s">
        <v>11</v>
      </c>
    </row>
    <row r="164" spans="1:10" x14ac:dyDescent="0.25">
      <c r="A164" s="1">
        <v>171</v>
      </c>
      <c r="B164" s="2">
        <v>42429.463194444441</v>
      </c>
      <c r="C164" s="2" t="str">
        <f t="shared" si="4"/>
        <v>02</v>
      </c>
      <c r="D164" s="2">
        <v>42429.468055555553</v>
      </c>
      <c r="E164" s="2" t="str">
        <f t="shared" si="4"/>
        <v>02</v>
      </c>
      <c r="F164" t="s">
        <v>55</v>
      </c>
      <c r="G164" t="s">
        <v>38</v>
      </c>
      <c r="H164" t="s">
        <v>44</v>
      </c>
      <c r="I164">
        <v>2.1</v>
      </c>
    </row>
    <row r="165" spans="1:10" x14ac:dyDescent="0.25">
      <c r="A165" s="1">
        <v>172</v>
      </c>
      <c r="B165" s="2">
        <v>42429.479166666657</v>
      </c>
      <c r="C165" s="2" t="str">
        <f t="shared" si="4"/>
        <v>02</v>
      </c>
      <c r="D165" s="2">
        <v>42429.486111111109</v>
      </c>
      <c r="E165" s="2" t="str">
        <f t="shared" si="4"/>
        <v>02</v>
      </c>
      <c r="F165" t="s">
        <v>7</v>
      </c>
      <c r="G165" t="s">
        <v>15</v>
      </c>
      <c r="H165" t="s">
        <v>48</v>
      </c>
      <c r="I165">
        <v>3.8</v>
      </c>
      <c r="J165" t="s">
        <v>11</v>
      </c>
    </row>
    <row r="166" spans="1:10" x14ac:dyDescent="0.25">
      <c r="A166" s="1">
        <v>173</v>
      </c>
      <c r="B166" s="2">
        <v>42429.525000000001</v>
      </c>
      <c r="C166" s="2" t="str">
        <f t="shared" si="4"/>
        <v>02</v>
      </c>
      <c r="D166" s="2">
        <v>42429.533333333333</v>
      </c>
      <c r="E166" s="2" t="str">
        <f t="shared" si="4"/>
        <v>02</v>
      </c>
      <c r="F166" t="s">
        <v>7</v>
      </c>
      <c r="G166" t="s">
        <v>48</v>
      </c>
      <c r="H166" t="s">
        <v>15</v>
      </c>
      <c r="I166">
        <v>5.6</v>
      </c>
      <c r="J166" t="s">
        <v>11</v>
      </c>
    </row>
    <row r="167" spans="1:10" x14ac:dyDescent="0.25">
      <c r="A167" s="1">
        <v>174</v>
      </c>
      <c r="B167" s="2">
        <v>42429.621527777781</v>
      </c>
      <c r="C167" s="2" t="str">
        <f t="shared" si="4"/>
        <v>02</v>
      </c>
      <c r="D167" s="2">
        <v>42429.627083333333</v>
      </c>
      <c r="E167" s="2" t="str">
        <f t="shared" si="4"/>
        <v>02</v>
      </c>
      <c r="F167" t="s">
        <v>7</v>
      </c>
      <c r="G167" t="s">
        <v>38</v>
      </c>
      <c r="H167" t="s">
        <v>43</v>
      </c>
      <c r="I167">
        <v>2.6</v>
      </c>
    </row>
    <row r="168" spans="1:10" x14ac:dyDescent="0.25">
      <c r="A168" s="1">
        <v>175</v>
      </c>
      <c r="B168" s="2">
        <v>42429.694444444453</v>
      </c>
      <c r="C168" s="2" t="str">
        <f t="shared" si="4"/>
        <v>02</v>
      </c>
      <c r="D168" s="2">
        <v>42429.708333333343</v>
      </c>
      <c r="E168" s="2" t="str">
        <f t="shared" si="4"/>
        <v>02</v>
      </c>
      <c r="F168" t="s">
        <v>7</v>
      </c>
      <c r="G168" t="s">
        <v>43</v>
      </c>
      <c r="H168" t="s">
        <v>38</v>
      </c>
      <c r="I168">
        <v>6.6</v>
      </c>
      <c r="J168" t="s">
        <v>13</v>
      </c>
    </row>
    <row r="169" spans="1:10" x14ac:dyDescent="0.25">
      <c r="A169" s="1">
        <v>176</v>
      </c>
      <c r="B169" s="2">
        <v>42430.782638888893</v>
      </c>
      <c r="C169" s="2" t="str">
        <f t="shared" si="4"/>
        <v>03</v>
      </c>
      <c r="D169" s="2">
        <v>42430.798611111109</v>
      </c>
      <c r="E169" s="2" t="str">
        <f t="shared" si="4"/>
        <v>03</v>
      </c>
      <c r="F169" t="s">
        <v>7</v>
      </c>
      <c r="G169" t="s">
        <v>38</v>
      </c>
      <c r="H169" t="s">
        <v>73</v>
      </c>
      <c r="I169">
        <v>8</v>
      </c>
      <c r="J169" t="s">
        <v>9</v>
      </c>
    </row>
    <row r="170" spans="1:10" x14ac:dyDescent="0.25">
      <c r="A170" s="1">
        <v>177</v>
      </c>
      <c r="B170" s="2">
        <v>42430.893750000003</v>
      </c>
      <c r="C170" s="2" t="str">
        <f t="shared" si="4"/>
        <v>03</v>
      </c>
      <c r="D170" s="2">
        <v>42430.90625</v>
      </c>
      <c r="E170" s="2" t="str">
        <f t="shared" si="4"/>
        <v>03</v>
      </c>
      <c r="F170" t="s">
        <v>7</v>
      </c>
      <c r="G170" t="s">
        <v>73</v>
      </c>
      <c r="H170" t="s">
        <v>38</v>
      </c>
      <c r="I170">
        <v>8</v>
      </c>
      <c r="J170" t="s">
        <v>11</v>
      </c>
    </row>
    <row r="171" spans="1:10" x14ac:dyDescent="0.25">
      <c r="A171" s="1">
        <v>178</v>
      </c>
      <c r="B171" s="2">
        <v>42432.40625</v>
      </c>
      <c r="C171" s="2" t="str">
        <f t="shared" si="4"/>
        <v>03</v>
      </c>
      <c r="D171" s="2">
        <v>42432.411111111112</v>
      </c>
      <c r="E171" s="2" t="str">
        <f t="shared" si="4"/>
        <v>03</v>
      </c>
      <c r="F171" t="s">
        <v>55</v>
      </c>
      <c r="G171" t="s">
        <v>38</v>
      </c>
      <c r="H171" t="s">
        <v>44</v>
      </c>
      <c r="I171">
        <v>2.2000000000000002</v>
      </c>
    </row>
    <row r="172" spans="1:10" x14ac:dyDescent="0.25">
      <c r="A172" s="1">
        <v>179</v>
      </c>
      <c r="B172" s="2">
        <v>42432.461111111108</v>
      </c>
      <c r="C172" s="2" t="str">
        <f t="shared" si="4"/>
        <v>03</v>
      </c>
      <c r="D172" s="2">
        <v>42432.465277777781</v>
      </c>
      <c r="E172" s="2" t="str">
        <f t="shared" si="4"/>
        <v>03</v>
      </c>
      <c r="F172" t="s">
        <v>7</v>
      </c>
      <c r="G172" t="s">
        <v>44</v>
      </c>
      <c r="H172" t="s">
        <v>38</v>
      </c>
      <c r="I172">
        <v>2.2999999999999998</v>
      </c>
      <c r="J172" t="s">
        <v>10</v>
      </c>
    </row>
    <row r="173" spans="1:10" x14ac:dyDescent="0.25">
      <c r="A173" s="1">
        <v>180</v>
      </c>
      <c r="B173" s="2">
        <v>42432.613888888889</v>
      </c>
      <c r="C173" s="2" t="str">
        <f t="shared" si="4"/>
        <v>03</v>
      </c>
      <c r="D173" s="2">
        <v>42432.623611111107</v>
      </c>
      <c r="E173" s="2" t="str">
        <f t="shared" si="4"/>
        <v>03</v>
      </c>
      <c r="F173" t="s">
        <v>7</v>
      </c>
      <c r="G173" t="s">
        <v>38</v>
      </c>
      <c r="H173" t="s">
        <v>50</v>
      </c>
      <c r="I173">
        <v>5.2</v>
      </c>
      <c r="J173" t="s">
        <v>9</v>
      </c>
    </row>
    <row r="174" spans="1:10" x14ac:dyDescent="0.25">
      <c r="A174" s="1">
        <v>181</v>
      </c>
      <c r="B174" s="2">
        <v>42432.643750000003</v>
      </c>
      <c r="C174" s="2" t="str">
        <f t="shared" si="4"/>
        <v>03</v>
      </c>
      <c r="D174" s="2">
        <v>42432.658333333333</v>
      </c>
      <c r="E174" s="2" t="str">
        <f t="shared" si="4"/>
        <v>03</v>
      </c>
      <c r="F174" t="s">
        <v>7</v>
      </c>
      <c r="G174" t="s">
        <v>15</v>
      </c>
      <c r="H174" t="s">
        <v>40</v>
      </c>
      <c r="I174">
        <v>7.6</v>
      </c>
      <c r="J174" t="s">
        <v>13</v>
      </c>
    </row>
    <row r="175" spans="1:10" x14ac:dyDescent="0.25">
      <c r="A175" s="1">
        <v>182</v>
      </c>
      <c r="B175" s="2">
        <v>42432.668055555558</v>
      </c>
      <c r="C175" s="2" t="str">
        <f t="shared" si="4"/>
        <v>03</v>
      </c>
      <c r="D175" s="2">
        <v>42432.695833333331</v>
      </c>
      <c r="E175" s="2" t="str">
        <f t="shared" si="4"/>
        <v>03</v>
      </c>
      <c r="F175" t="s">
        <v>7</v>
      </c>
      <c r="G175" t="s">
        <v>40</v>
      </c>
      <c r="H175" t="s">
        <v>15</v>
      </c>
      <c r="I175">
        <v>17.3</v>
      </c>
      <c r="J175" t="s">
        <v>11</v>
      </c>
    </row>
    <row r="176" spans="1:10" x14ac:dyDescent="0.25">
      <c r="A176" s="1">
        <v>183</v>
      </c>
      <c r="B176" s="2">
        <v>42433.324305555558</v>
      </c>
      <c r="C176" s="2" t="str">
        <f t="shared" si="4"/>
        <v>03</v>
      </c>
      <c r="D176" s="2">
        <v>42433.337500000001</v>
      </c>
      <c r="E176" s="2" t="str">
        <f t="shared" si="4"/>
        <v>03</v>
      </c>
      <c r="F176" t="s">
        <v>7</v>
      </c>
      <c r="G176" t="s">
        <v>15</v>
      </c>
      <c r="H176" t="s">
        <v>36</v>
      </c>
      <c r="I176">
        <v>9.9</v>
      </c>
      <c r="J176" t="s">
        <v>11</v>
      </c>
    </row>
    <row r="177" spans="1:10" x14ac:dyDescent="0.25">
      <c r="A177" s="1">
        <v>184</v>
      </c>
      <c r="B177" s="2">
        <v>42433.406944444447</v>
      </c>
      <c r="C177" s="2" t="str">
        <f t="shared" si="4"/>
        <v>03</v>
      </c>
      <c r="D177" s="2">
        <v>42433.418749999997</v>
      </c>
      <c r="E177" s="2" t="str">
        <f t="shared" si="4"/>
        <v>03</v>
      </c>
      <c r="F177" t="s">
        <v>7</v>
      </c>
      <c r="G177" t="s">
        <v>36</v>
      </c>
      <c r="H177" t="s">
        <v>15</v>
      </c>
      <c r="I177">
        <v>9.9</v>
      </c>
      <c r="J177" t="s">
        <v>13</v>
      </c>
    </row>
    <row r="178" spans="1:10" x14ac:dyDescent="0.25">
      <c r="A178" s="1">
        <v>185</v>
      </c>
      <c r="B178" s="2">
        <v>42433.490277777782</v>
      </c>
      <c r="C178" s="2" t="str">
        <f t="shared" si="4"/>
        <v>03</v>
      </c>
      <c r="D178" s="2">
        <v>42433.504166666673</v>
      </c>
      <c r="E178" s="2" t="str">
        <f t="shared" si="4"/>
        <v>03</v>
      </c>
      <c r="F178" t="s">
        <v>7</v>
      </c>
      <c r="G178" t="s">
        <v>15</v>
      </c>
      <c r="H178" t="s">
        <v>36</v>
      </c>
      <c r="I178">
        <v>10.4</v>
      </c>
      <c r="J178" t="s">
        <v>11</v>
      </c>
    </row>
    <row r="179" spans="1:10" x14ac:dyDescent="0.25">
      <c r="A179" s="1">
        <v>186</v>
      </c>
      <c r="B179" s="2">
        <v>42433.543749999997</v>
      </c>
      <c r="C179" s="2" t="str">
        <f t="shared" si="4"/>
        <v>03</v>
      </c>
      <c r="D179" s="2">
        <v>42433.559027777781</v>
      </c>
      <c r="E179" s="2" t="str">
        <f t="shared" si="4"/>
        <v>03</v>
      </c>
      <c r="F179" t="s">
        <v>7</v>
      </c>
      <c r="G179" t="s">
        <v>36</v>
      </c>
      <c r="H179" t="s">
        <v>15</v>
      </c>
      <c r="I179">
        <v>10.9</v>
      </c>
      <c r="J179" t="s">
        <v>11</v>
      </c>
    </row>
    <row r="180" spans="1:10" x14ac:dyDescent="0.25">
      <c r="A180" s="1">
        <v>187</v>
      </c>
      <c r="B180" s="2">
        <v>42433.569444444453</v>
      </c>
      <c r="C180" s="2" t="str">
        <f t="shared" si="4"/>
        <v>03</v>
      </c>
      <c r="D180" s="2">
        <v>42433.589583333327</v>
      </c>
      <c r="E180" s="2" t="str">
        <f t="shared" si="4"/>
        <v>03</v>
      </c>
      <c r="F180" t="s">
        <v>7</v>
      </c>
      <c r="G180" t="s">
        <v>15</v>
      </c>
      <c r="H180" t="s">
        <v>40</v>
      </c>
      <c r="I180">
        <v>15.7</v>
      </c>
      <c r="J180" t="s">
        <v>13</v>
      </c>
    </row>
    <row r="181" spans="1:10" x14ac:dyDescent="0.25">
      <c r="A181" s="1">
        <v>188</v>
      </c>
      <c r="B181" s="2">
        <v>42433.663888888892</v>
      </c>
      <c r="C181" s="2" t="str">
        <f t="shared" si="4"/>
        <v>03</v>
      </c>
      <c r="D181" s="2">
        <v>42433.672222222223</v>
      </c>
      <c r="E181" s="2" t="str">
        <f t="shared" si="4"/>
        <v>03</v>
      </c>
      <c r="F181" t="s">
        <v>7</v>
      </c>
      <c r="G181" t="s">
        <v>40</v>
      </c>
      <c r="H181" t="s">
        <v>40</v>
      </c>
      <c r="I181">
        <v>4.9000000000000004</v>
      </c>
      <c r="J181" t="s">
        <v>9</v>
      </c>
    </row>
    <row r="182" spans="1:10" x14ac:dyDescent="0.25">
      <c r="A182" s="1">
        <v>189</v>
      </c>
      <c r="B182" s="2">
        <v>42433.677777777782</v>
      </c>
      <c r="C182" s="2" t="str">
        <f t="shared" si="4"/>
        <v>03</v>
      </c>
      <c r="D182" s="2">
        <v>42433.681944444441</v>
      </c>
      <c r="E182" s="2" t="str">
        <f t="shared" si="4"/>
        <v>03</v>
      </c>
      <c r="F182" t="s">
        <v>7</v>
      </c>
      <c r="G182" t="s">
        <v>41</v>
      </c>
      <c r="H182" t="s">
        <v>74</v>
      </c>
      <c r="I182">
        <v>0.8</v>
      </c>
      <c r="J182" t="s">
        <v>10</v>
      </c>
    </row>
    <row r="183" spans="1:10" x14ac:dyDescent="0.25">
      <c r="A183" s="1">
        <v>190</v>
      </c>
      <c r="B183" s="2">
        <v>42433.696527777778</v>
      </c>
      <c r="C183" s="2" t="str">
        <f t="shared" si="4"/>
        <v>03</v>
      </c>
      <c r="D183" s="2">
        <v>42433.716666666667</v>
      </c>
      <c r="E183" s="2" t="str">
        <f t="shared" si="4"/>
        <v>03</v>
      </c>
      <c r="F183" t="s">
        <v>7</v>
      </c>
      <c r="G183" t="s">
        <v>40</v>
      </c>
      <c r="H183" t="s">
        <v>15</v>
      </c>
      <c r="I183">
        <v>13.5</v>
      </c>
      <c r="J183" t="s">
        <v>11</v>
      </c>
    </row>
    <row r="184" spans="1:10" x14ac:dyDescent="0.25">
      <c r="A184" s="1">
        <v>191</v>
      </c>
      <c r="B184" s="2">
        <v>42433.793055555558</v>
      </c>
      <c r="C184" s="2" t="str">
        <f t="shared" si="4"/>
        <v>03</v>
      </c>
      <c r="D184" s="2">
        <v>42433.797222222223</v>
      </c>
      <c r="E184" s="2" t="str">
        <f t="shared" si="4"/>
        <v>03</v>
      </c>
      <c r="F184" t="s">
        <v>7</v>
      </c>
      <c r="G184" t="s">
        <v>15</v>
      </c>
      <c r="H184" t="s">
        <v>16</v>
      </c>
      <c r="I184">
        <v>1.9</v>
      </c>
      <c r="J184" t="s">
        <v>24</v>
      </c>
    </row>
    <row r="185" spans="1:10" x14ac:dyDescent="0.25">
      <c r="A185" s="1">
        <v>192</v>
      </c>
      <c r="B185" s="2">
        <v>42433.802777777782</v>
      </c>
      <c r="C185" s="2" t="str">
        <f t="shared" si="4"/>
        <v>03</v>
      </c>
      <c r="D185" s="2">
        <v>42433.809027777781</v>
      </c>
      <c r="E185" s="2" t="str">
        <f t="shared" si="4"/>
        <v>03</v>
      </c>
      <c r="F185" t="s">
        <v>7</v>
      </c>
      <c r="G185" t="s">
        <v>16</v>
      </c>
      <c r="H185" t="s">
        <v>15</v>
      </c>
      <c r="I185">
        <v>2</v>
      </c>
      <c r="J185" t="s">
        <v>9</v>
      </c>
    </row>
    <row r="186" spans="1:10" x14ac:dyDescent="0.25">
      <c r="A186" s="1">
        <v>193</v>
      </c>
      <c r="B186" s="2">
        <v>42434.488888888889</v>
      </c>
      <c r="C186" s="2" t="str">
        <f t="shared" si="4"/>
        <v>03</v>
      </c>
      <c r="D186" s="2">
        <v>42434.499305555553</v>
      </c>
      <c r="E186" s="2" t="str">
        <f t="shared" si="4"/>
        <v>03</v>
      </c>
      <c r="F186" t="s">
        <v>7</v>
      </c>
      <c r="G186" t="s">
        <v>15</v>
      </c>
      <c r="H186" t="s">
        <v>16</v>
      </c>
      <c r="I186">
        <v>6.5</v>
      </c>
      <c r="J186" t="s">
        <v>9</v>
      </c>
    </row>
    <row r="187" spans="1:10" x14ac:dyDescent="0.25">
      <c r="A187" s="1">
        <v>194</v>
      </c>
      <c r="B187" s="2">
        <v>42434.539583333331</v>
      </c>
      <c r="C187" s="2" t="str">
        <f t="shared" si="4"/>
        <v>03</v>
      </c>
      <c r="D187" s="2">
        <v>42434.55</v>
      </c>
      <c r="E187" s="2" t="str">
        <f t="shared" si="4"/>
        <v>03</v>
      </c>
      <c r="F187" t="s">
        <v>55</v>
      </c>
      <c r="G187" t="s">
        <v>75</v>
      </c>
      <c r="H187" t="s">
        <v>75</v>
      </c>
      <c r="I187">
        <v>4.2</v>
      </c>
    </row>
    <row r="188" spans="1:10" x14ac:dyDescent="0.25">
      <c r="A188" s="1">
        <v>195</v>
      </c>
      <c r="B188" s="2">
        <v>42434.588888888888</v>
      </c>
      <c r="C188" s="2" t="str">
        <f t="shared" si="4"/>
        <v>03</v>
      </c>
      <c r="D188" s="2">
        <v>42434.595833333333</v>
      </c>
      <c r="E188" s="2" t="str">
        <f t="shared" si="4"/>
        <v>03</v>
      </c>
      <c r="F188" t="s">
        <v>55</v>
      </c>
      <c r="G188" t="s">
        <v>16</v>
      </c>
      <c r="H188" t="s">
        <v>15</v>
      </c>
      <c r="I188">
        <v>3.5</v>
      </c>
    </row>
    <row r="189" spans="1:10" x14ac:dyDescent="0.25">
      <c r="A189" s="1">
        <v>196</v>
      </c>
      <c r="B189" s="2">
        <v>42434.61041666667</v>
      </c>
      <c r="C189" s="2" t="str">
        <f t="shared" si="4"/>
        <v>03</v>
      </c>
      <c r="D189" s="2">
        <v>42434.625694444447</v>
      </c>
      <c r="E189" s="2" t="str">
        <f t="shared" si="4"/>
        <v>03</v>
      </c>
      <c r="F189" t="s">
        <v>7</v>
      </c>
      <c r="G189" t="s">
        <v>38</v>
      </c>
      <c r="H189" t="s">
        <v>73</v>
      </c>
      <c r="I189">
        <v>7.8</v>
      </c>
      <c r="J189" t="s">
        <v>9</v>
      </c>
    </row>
    <row r="190" spans="1:10" x14ac:dyDescent="0.25">
      <c r="A190" s="1">
        <v>197</v>
      </c>
      <c r="B190" s="2">
        <v>42434.702777777777</v>
      </c>
      <c r="C190" s="2" t="str">
        <f t="shared" si="4"/>
        <v>03</v>
      </c>
      <c r="D190" s="2">
        <v>42434.717361111107</v>
      </c>
      <c r="E190" s="2" t="str">
        <f t="shared" si="4"/>
        <v>03</v>
      </c>
      <c r="F190" t="s">
        <v>7</v>
      </c>
      <c r="G190" t="s">
        <v>15</v>
      </c>
      <c r="H190" t="s">
        <v>16</v>
      </c>
      <c r="I190">
        <v>7.8</v>
      </c>
      <c r="J190" t="s">
        <v>9</v>
      </c>
    </row>
    <row r="191" spans="1:10" x14ac:dyDescent="0.25">
      <c r="A191" s="1">
        <v>198</v>
      </c>
      <c r="B191" s="2">
        <v>42434.724305555559</v>
      </c>
      <c r="C191" s="2" t="str">
        <f t="shared" si="4"/>
        <v>03</v>
      </c>
      <c r="D191" s="2">
        <v>42434.731944444437</v>
      </c>
      <c r="E191" s="2" t="str">
        <f t="shared" si="4"/>
        <v>03</v>
      </c>
      <c r="F191" t="s">
        <v>7</v>
      </c>
      <c r="G191" t="s">
        <v>16</v>
      </c>
      <c r="H191" t="s">
        <v>15</v>
      </c>
      <c r="I191">
        <v>3.9</v>
      </c>
      <c r="J191" t="s">
        <v>9</v>
      </c>
    </row>
    <row r="192" spans="1:10" x14ac:dyDescent="0.25">
      <c r="A192" s="1">
        <v>199</v>
      </c>
      <c r="B192" s="2">
        <v>42436.381944444453</v>
      </c>
      <c r="C192" s="2" t="str">
        <f t="shared" si="4"/>
        <v>03</v>
      </c>
      <c r="D192" s="2">
        <v>42436.388888888891</v>
      </c>
      <c r="E192" s="2" t="str">
        <f t="shared" si="4"/>
        <v>03</v>
      </c>
      <c r="F192" t="s">
        <v>7</v>
      </c>
      <c r="G192" t="s">
        <v>38</v>
      </c>
      <c r="H192" t="s">
        <v>54</v>
      </c>
      <c r="I192">
        <v>2.8</v>
      </c>
      <c r="J192" t="s">
        <v>10</v>
      </c>
    </row>
    <row r="193" spans="1:10" x14ac:dyDescent="0.25">
      <c r="A193" s="1">
        <v>200</v>
      </c>
      <c r="B193" s="2">
        <v>42436.390972222223</v>
      </c>
      <c r="C193" s="2" t="str">
        <f t="shared" si="4"/>
        <v>03</v>
      </c>
      <c r="D193" s="2">
        <v>42436.407638888893</v>
      </c>
      <c r="E193" s="2" t="str">
        <f t="shared" si="4"/>
        <v>03</v>
      </c>
      <c r="F193" t="s">
        <v>7</v>
      </c>
      <c r="G193" t="s">
        <v>15</v>
      </c>
      <c r="H193" t="s">
        <v>40</v>
      </c>
      <c r="I193">
        <v>12.4</v>
      </c>
      <c r="J193" t="s">
        <v>13</v>
      </c>
    </row>
    <row r="194" spans="1:10" x14ac:dyDescent="0.25">
      <c r="A194" s="1">
        <v>201</v>
      </c>
      <c r="B194" s="2">
        <v>42436.506944444453</v>
      </c>
      <c r="C194" s="2" t="str">
        <f t="shared" si="4"/>
        <v>03</v>
      </c>
      <c r="D194" s="2">
        <v>42436.518055555563</v>
      </c>
      <c r="E194" s="2" t="str">
        <f t="shared" si="4"/>
        <v>03</v>
      </c>
      <c r="F194" t="s">
        <v>7</v>
      </c>
      <c r="G194" t="s">
        <v>41</v>
      </c>
      <c r="H194" t="s">
        <v>46</v>
      </c>
      <c r="I194">
        <v>5.9</v>
      </c>
      <c r="J194" t="s">
        <v>13</v>
      </c>
    </row>
    <row r="195" spans="1:10" x14ac:dyDescent="0.25">
      <c r="A195" s="1">
        <v>202</v>
      </c>
      <c r="B195" s="2">
        <v>42436.581250000003</v>
      </c>
      <c r="C195" s="2" t="str">
        <f t="shared" ref="C195:E258" si="5" xml:space="preserve"> TEXT(B195, "mm")</f>
        <v>03</v>
      </c>
      <c r="D195" s="2">
        <v>42436.595833333333</v>
      </c>
      <c r="E195" s="2" t="str">
        <f t="shared" si="5"/>
        <v>03</v>
      </c>
      <c r="F195" t="s">
        <v>7</v>
      </c>
      <c r="G195" t="s">
        <v>46</v>
      </c>
      <c r="H195" t="s">
        <v>47</v>
      </c>
      <c r="I195">
        <v>9.4</v>
      </c>
      <c r="J195" t="s">
        <v>11</v>
      </c>
    </row>
    <row r="196" spans="1:10" x14ac:dyDescent="0.25">
      <c r="A196" s="1">
        <v>203</v>
      </c>
      <c r="B196" s="2">
        <v>42436.638194444437</v>
      </c>
      <c r="C196" s="2" t="str">
        <f t="shared" si="5"/>
        <v>03</v>
      </c>
      <c r="D196" s="2">
        <v>42436.65625</v>
      </c>
      <c r="E196" s="2" t="str">
        <f t="shared" si="5"/>
        <v>03</v>
      </c>
      <c r="F196" t="s">
        <v>7</v>
      </c>
      <c r="G196" t="s">
        <v>40</v>
      </c>
      <c r="H196" t="s">
        <v>15</v>
      </c>
      <c r="I196">
        <v>11.9</v>
      </c>
      <c r="J196" t="s">
        <v>53</v>
      </c>
    </row>
    <row r="197" spans="1:10" x14ac:dyDescent="0.25">
      <c r="A197" s="1">
        <v>204</v>
      </c>
      <c r="B197" s="2">
        <v>42437.609722222223</v>
      </c>
      <c r="C197" s="2" t="str">
        <f t="shared" si="5"/>
        <v>03</v>
      </c>
      <c r="D197" s="2">
        <v>42437.621527777781</v>
      </c>
      <c r="E197" s="2" t="str">
        <f t="shared" si="5"/>
        <v>03</v>
      </c>
      <c r="F197" t="s">
        <v>7</v>
      </c>
      <c r="G197" t="s">
        <v>38</v>
      </c>
      <c r="H197" t="s">
        <v>72</v>
      </c>
      <c r="I197">
        <v>7.2</v>
      </c>
      <c r="J197" t="s">
        <v>53</v>
      </c>
    </row>
    <row r="198" spans="1:10" x14ac:dyDescent="0.25">
      <c r="A198" s="1">
        <v>205</v>
      </c>
      <c r="B198" s="2">
        <v>42437.649305555547</v>
      </c>
      <c r="C198" s="2" t="str">
        <f t="shared" si="5"/>
        <v>03</v>
      </c>
      <c r="D198" s="2">
        <v>42437.666666666657</v>
      </c>
      <c r="E198" s="2" t="str">
        <f t="shared" si="5"/>
        <v>03</v>
      </c>
      <c r="F198" t="s">
        <v>7</v>
      </c>
      <c r="G198" t="s">
        <v>72</v>
      </c>
      <c r="H198" t="s">
        <v>38</v>
      </c>
      <c r="I198">
        <v>7.6</v>
      </c>
      <c r="J198" t="s">
        <v>9</v>
      </c>
    </row>
    <row r="199" spans="1:10" x14ac:dyDescent="0.25">
      <c r="A199" s="1">
        <v>206</v>
      </c>
      <c r="B199" s="2">
        <v>42437.675694444442</v>
      </c>
      <c r="C199" s="2" t="str">
        <f t="shared" si="5"/>
        <v>03</v>
      </c>
      <c r="D199" s="2">
        <v>42437.684027777781</v>
      </c>
      <c r="E199" s="2" t="str">
        <f t="shared" si="5"/>
        <v>03</v>
      </c>
      <c r="F199" t="s">
        <v>55</v>
      </c>
      <c r="G199" t="s">
        <v>38</v>
      </c>
      <c r="H199" t="s">
        <v>38</v>
      </c>
      <c r="I199">
        <v>1.6</v>
      </c>
    </row>
    <row r="200" spans="1:10" x14ac:dyDescent="0.25">
      <c r="A200" s="1">
        <v>207</v>
      </c>
      <c r="B200" s="2">
        <v>42439.15</v>
      </c>
      <c r="C200" s="2" t="str">
        <f t="shared" si="5"/>
        <v>03</v>
      </c>
      <c r="D200" s="2">
        <v>42439.161805555559</v>
      </c>
      <c r="E200" s="2" t="str">
        <f t="shared" si="5"/>
        <v>03</v>
      </c>
      <c r="F200" t="s">
        <v>7</v>
      </c>
      <c r="G200" t="s">
        <v>15</v>
      </c>
      <c r="H200" t="s">
        <v>16</v>
      </c>
      <c r="I200">
        <v>8.4</v>
      </c>
      <c r="J200" t="s">
        <v>11</v>
      </c>
    </row>
    <row r="201" spans="1:10" x14ac:dyDescent="0.25">
      <c r="A201" s="1">
        <v>208</v>
      </c>
      <c r="B201" s="2">
        <v>42439.422222222223</v>
      </c>
      <c r="C201" s="2" t="str">
        <f t="shared" si="5"/>
        <v>03</v>
      </c>
      <c r="D201" s="2">
        <v>42439.442361111112</v>
      </c>
      <c r="E201" s="2" t="str">
        <f t="shared" si="5"/>
        <v>03</v>
      </c>
      <c r="F201" t="s">
        <v>7</v>
      </c>
      <c r="G201" t="s">
        <v>76</v>
      </c>
      <c r="H201" t="s">
        <v>77</v>
      </c>
      <c r="I201">
        <v>12.8</v>
      </c>
      <c r="J201" t="s">
        <v>11</v>
      </c>
    </row>
    <row r="202" spans="1:10" x14ac:dyDescent="0.25">
      <c r="A202" s="1">
        <v>209</v>
      </c>
      <c r="B202" s="2">
        <v>42439.61041666667</v>
      </c>
      <c r="C202" s="2" t="str">
        <f t="shared" si="5"/>
        <v>03</v>
      </c>
      <c r="D202" s="2">
        <v>42439.621527777781</v>
      </c>
      <c r="E202" s="2" t="str">
        <f t="shared" si="5"/>
        <v>03</v>
      </c>
      <c r="F202" t="s">
        <v>7</v>
      </c>
      <c r="G202" t="s">
        <v>77</v>
      </c>
      <c r="H202" t="s">
        <v>78</v>
      </c>
      <c r="I202">
        <v>2.2999999999999998</v>
      </c>
    </row>
    <row r="203" spans="1:10" x14ac:dyDescent="0.25">
      <c r="A203" s="1">
        <v>210</v>
      </c>
      <c r="B203" s="2">
        <v>42439.679166666669</v>
      </c>
      <c r="C203" s="2" t="str">
        <f t="shared" si="5"/>
        <v>03</v>
      </c>
      <c r="D203" s="2">
        <v>42439.686111111107</v>
      </c>
      <c r="E203" s="2" t="str">
        <f t="shared" si="5"/>
        <v>03</v>
      </c>
      <c r="F203" t="s">
        <v>7</v>
      </c>
      <c r="G203" t="s">
        <v>78</v>
      </c>
      <c r="H203" t="s">
        <v>79</v>
      </c>
      <c r="I203">
        <v>1.6</v>
      </c>
    </row>
    <row r="204" spans="1:10" x14ac:dyDescent="0.25">
      <c r="A204" s="1">
        <v>211</v>
      </c>
      <c r="B204" s="2">
        <v>42440.407638888893</v>
      </c>
      <c r="C204" s="2" t="str">
        <f t="shared" si="5"/>
        <v>03</v>
      </c>
      <c r="D204" s="2">
        <v>42440.415972222218</v>
      </c>
      <c r="E204" s="2" t="str">
        <f t="shared" si="5"/>
        <v>03</v>
      </c>
      <c r="F204" t="s">
        <v>7</v>
      </c>
      <c r="G204" t="s">
        <v>80</v>
      </c>
      <c r="H204" t="s">
        <v>81</v>
      </c>
      <c r="I204">
        <v>2</v>
      </c>
      <c r="J204" t="s">
        <v>9</v>
      </c>
    </row>
    <row r="205" spans="1:10" x14ac:dyDescent="0.25">
      <c r="A205" s="1">
        <v>212</v>
      </c>
      <c r="B205" s="2">
        <v>42440.436805555553</v>
      </c>
      <c r="C205" s="2" t="str">
        <f t="shared" si="5"/>
        <v>03</v>
      </c>
      <c r="D205" s="2">
        <v>42440.441666666673</v>
      </c>
      <c r="E205" s="2" t="str">
        <f t="shared" si="5"/>
        <v>03</v>
      </c>
      <c r="F205" t="s">
        <v>7</v>
      </c>
      <c r="G205" t="s">
        <v>81</v>
      </c>
      <c r="H205" t="s">
        <v>31</v>
      </c>
      <c r="I205">
        <v>0.8</v>
      </c>
    </row>
    <row r="206" spans="1:10" x14ac:dyDescent="0.25">
      <c r="A206" s="1">
        <v>213</v>
      </c>
      <c r="B206" s="2">
        <v>42440.497916666667</v>
      </c>
      <c r="C206" s="2" t="str">
        <f t="shared" si="5"/>
        <v>03</v>
      </c>
      <c r="D206" s="2">
        <v>42440.50277777778</v>
      </c>
      <c r="E206" s="2" t="str">
        <f t="shared" si="5"/>
        <v>03</v>
      </c>
      <c r="F206" t="s">
        <v>7</v>
      </c>
      <c r="G206" t="s">
        <v>31</v>
      </c>
      <c r="H206" t="s">
        <v>82</v>
      </c>
      <c r="I206">
        <v>1.2</v>
      </c>
    </row>
    <row r="207" spans="1:10" x14ac:dyDescent="0.25">
      <c r="A207" s="1">
        <v>214</v>
      </c>
      <c r="B207" s="2">
        <v>42440.571527777778</v>
      </c>
      <c r="C207" s="2" t="str">
        <f t="shared" si="5"/>
        <v>03</v>
      </c>
      <c r="D207" s="2">
        <v>42440.57708333333</v>
      </c>
      <c r="E207" s="2" t="str">
        <f t="shared" si="5"/>
        <v>03</v>
      </c>
      <c r="F207" t="s">
        <v>7</v>
      </c>
      <c r="G207" t="s">
        <v>82</v>
      </c>
      <c r="H207" t="s">
        <v>31</v>
      </c>
      <c r="I207">
        <v>1</v>
      </c>
    </row>
    <row r="208" spans="1:10" x14ac:dyDescent="0.25">
      <c r="A208" s="1">
        <v>215</v>
      </c>
      <c r="B208" s="2">
        <v>42440.806250000001</v>
      </c>
      <c r="C208" s="2" t="str">
        <f t="shared" si="5"/>
        <v>03</v>
      </c>
      <c r="D208" s="2">
        <v>42440.815972222219</v>
      </c>
      <c r="E208" s="2" t="str">
        <f t="shared" si="5"/>
        <v>03</v>
      </c>
      <c r="F208" t="s">
        <v>7</v>
      </c>
      <c r="G208" t="s">
        <v>78</v>
      </c>
      <c r="H208" t="s">
        <v>80</v>
      </c>
      <c r="I208">
        <v>2.1</v>
      </c>
    </row>
    <row r="209" spans="1:10" x14ac:dyDescent="0.25">
      <c r="A209" s="1">
        <v>216</v>
      </c>
      <c r="B209" s="2">
        <v>42441.384027777778</v>
      </c>
      <c r="C209" s="2" t="str">
        <f t="shared" si="5"/>
        <v>03</v>
      </c>
      <c r="D209" s="2">
        <v>42441.390277777777</v>
      </c>
      <c r="E209" s="2" t="str">
        <f t="shared" si="5"/>
        <v>03</v>
      </c>
      <c r="F209" t="s">
        <v>7</v>
      </c>
      <c r="G209" t="s">
        <v>80</v>
      </c>
      <c r="H209" t="s">
        <v>78</v>
      </c>
      <c r="I209">
        <v>2.2000000000000002</v>
      </c>
    </row>
    <row r="210" spans="1:10" x14ac:dyDescent="0.25">
      <c r="A210" s="1">
        <v>217</v>
      </c>
      <c r="B210" s="2">
        <v>42441.768750000003</v>
      </c>
      <c r="C210" s="2" t="str">
        <f t="shared" si="5"/>
        <v>03</v>
      </c>
      <c r="D210" s="2">
        <v>42441.775694444441</v>
      </c>
      <c r="E210" s="2" t="str">
        <f t="shared" si="5"/>
        <v>03</v>
      </c>
      <c r="F210" t="s">
        <v>55</v>
      </c>
      <c r="G210" t="s">
        <v>78</v>
      </c>
      <c r="H210" t="s">
        <v>80</v>
      </c>
      <c r="I210">
        <v>1.9</v>
      </c>
    </row>
    <row r="211" spans="1:10" x14ac:dyDescent="0.25">
      <c r="A211" s="1">
        <v>218</v>
      </c>
      <c r="B211" s="2">
        <v>42442.379861111112</v>
      </c>
      <c r="C211" s="2" t="str">
        <f t="shared" si="5"/>
        <v>03</v>
      </c>
      <c r="D211" s="2">
        <v>42442.400694444441</v>
      </c>
      <c r="E211" s="2" t="str">
        <f t="shared" si="5"/>
        <v>03</v>
      </c>
      <c r="F211" t="s">
        <v>7</v>
      </c>
      <c r="G211" t="s">
        <v>80</v>
      </c>
      <c r="H211" t="s">
        <v>83</v>
      </c>
      <c r="I211">
        <v>5.7</v>
      </c>
      <c r="J211" t="s">
        <v>9</v>
      </c>
    </row>
    <row r="212" spans="1:10" x14ac:dyDescent="0.25">
      <c r="A212" s="1">
        <v>219</v>
      </c>
      <c r="B212" s="2">
        <v>42442.765972222223</v>
      </c>
      <c r="C212" s="2" t="str">
        <f t="shared" si="5"/>
        <v>03</v>
      </c>
      <c r="D212" s="2">
        <v>42442.779861111107</v>
      </c>
      <c r="E212" s="2" t="str">
        <f t="shared" si="5"/>
        <v>03</v>
      </c>
      <c r="F212" t="s">
        <v>7</v>
      </c>
      <c r="G212" t="s">
        <v>78</v>
      </c>
      <c r="H212" t="s">
        <v>84</v>
      </c>
      <c r="I212">
        <v>8.4</v>
      </c>
      <c r="J212" t="s">
        <v>9</v>
      </c>
    </row>
    <row r="213" spans="1:10" x14ac:dyDescent="0.25">
      <c r="A213" s="1">
        <v>220</v>
      </c>
      <c r="B213" s="2">
        <v>42442.838194444441</v>
      </c>
      <c r="C213" s="2" t="str">
        <f t="shared" si="5"/>
        <v>03</v>
      </c>
      <c r="D213" s="2">
        <v>42442.852777777778</v>
      </c>
      <c r="E213" s="2" t="str">
        <f t="shared" si="5"/>
        <v>03</v>
      </c>
      <c r="F213" t="s">
        <v>7</v>
      </c>
      <c r="G213" t="s">
        <v>85</v>
      </c>
      <c r="H213" t="s">
        <v>80</v>
      </c>
      <c r="I213">
        <v>6.2</v>
      </c>
      <c r="J213" t="s">
        <v>9</v>
      </c>
    </row>
    <row r="214" spans="1:10" x14ac:dyDescent="0.25">
      <c r="A214" s="1">
        <v>221</v>
      </c>
      <c r="B214" s="2">
        <v>42442.86041666667</v>
      </c>
      <c r="C214" s="2" t="str">
        <f t="shared" si="5"/>
        <v>03</v>
      </c>
      <c r="D214" s="2">
        <v>42442.873611111107</v>
      </c>
      <c r="E214" s="2" t="str">
        <f t="shared" si="5"/>
        <v>03</v>
      </c>
      <c r="F214" t="s">
        <v>7</v>
      </c>
      <c r="G214" t="s">
        <v>80</v>
      </c>
      <c r="H214" t="s">
        <v>84</v>
      </c>
      <c r="I214">
        <v>10.5</v>
      </c>
      <c r="J214" t="s">
        <v>9</v>
      </c>
    </row>
    <row r="215" spans="1:10" x14ac:dyDescent="0.25">
      <c r="A215" s="1">
        <v>222</v>
      </c>
      <c r="B215" s="2">
        <v>42442.882638888892</v>
      </c>
      <c r="C215" s="2" t="str">
        <f t="shared" si="5"/>
        <v>03</v>
      </c>
      <c r="D215" s="2">
        <v>42442.890972222223</v>
      </c>
      <c r="E215" s="2" t="str">
        <f t="shared" si="5"/>
        <v>03</v>
      </c>
      <c r="F215" t="s">
        <v>7</v>
      </c>
      <c r="G215" t="s">
        <v>84</v>
      </c>
      <c r="H215" t="s">
        <v>86</v>
      </c>
      <c r="I215">
        <v>7.2</v>
      </c>
      <c r="J215" t="s">
        <v>9</v>
      </c>
    </row>
    <row r="216" spans="1:10" x14ac:dyDescent="0.25">
      <c r="A216" s="1">
        <v>223</v>
      </c>
      <c r="B216" s="2">
        <v>42442.929861111108</v>
      </c>
      <c r="C216" s="2" t="str">
        <f t="shared" si="5"/>
        <v>03</v>
      </c>
      <c r="D216" s="2">
        <v>42442.943749999999</v>
      </c>
      <c r="E216" s="2" t="str">
        <f t="shared" si="5"/>
        <v>03</v>
      </c>
      <c r="F216" t="s">
        <v>7</v>
      </c>
      <c r="G216" t="s">
        <v>86</v>
      </c>
      <c r="H216" t="s">
        <v>80</v>
      </c>
      <c r="I216">
        <v>12.5</v>
      </c>
    </row>
    <row r="217" spans="1:10" x14ac:dyDescent="0.25">
      <c r="A217" s="1">
        <v>224</v>
      </c>
      <c r="B217" s="2">
        <v>42443.356944444437</v>
      </c>
      <c r="C217" s="2" t="str">
        <f t="shared" si="5"/>
        <v>03</v>
      </c>
      <c r="D217" s="2">
        <v>42443.367361111108</v>
      </c>
      <c r="E217" s="2" t="str">
        <f t="shared" si="5"/>
        <v>03</v>
      </c>
      <c r="F217" t="s">
        <v>7</v>
      </c>
      <c r="G217" t="s">
        <v>80</v>
      </c>
      <c r="H217" t="s">
        <v>78</v>
      </c>
      <c r="I217">
        <v>2</v>
      </c>
      <c r="J217" t="s">
        <v>10</v>
      </c>
    </row>
    <row r="218" spans="1:10" x14ac:dyDescent="0.25">
      <c r="A218" s="1">
        <v>225</v>
      </c>
      <c r="B218" s="2">
        <v>42443.777083333327</v>
      </c>
      <c r="C218" s="2" t="str">
        <f t="shared" si="5"/>
        <v>03</v>
      </c>
      <c r="D218" s="2">
        <v>42443.788194444453</v>
      </c>
      <c r="E218" s="2" t="str">
        <f t="shared" si="5"/>
        <v>03</v>
      </c>
      <c r="F218" t="s">
        <v>7</v>
      </c>
      <c r="G218" t="s">
        <v>78</v>
      </c>
      <c r="H218" t="s">
        <v>80</v>
      </c>
      <c r="I218">
        <v>2.7</v>
      </c>
    </row>
    <row r="219" spans="1:10" x14ac:dyDescent="0.25">
      <c r="A219" s="1">
        <v>226</v>
      </c>
      <c r="B219" s="2">
        <v>42444.364583333343</v>
      </c>
      <c r="C219" s="2" t="str">
        <f t="shared" si="5"/>
        <v>03</v>
      </c>
      <c r="D219" s="2">
        <v>42444.372916666667</v>
      </c>
      <c r="E219" s="2" t="str">
        <f t="shared" si="5"/>
        <v>03</v>
      </c>
      <c r="F219" t="s">
        <v>7</v>
      </c>
      <c r="G219" t="s">
        <v>80</v>
      </c>
      <c r="H219" t="s">
        <v>83</v>
      </c>
      <c r="I219">
        <v>2</v>
      </c>
      <c r="J219" t="s">
        <v>9</v>
      </c>
    </row>
    <row r="220" spans="1:10" x14ac:dyDescent="0.25">
      <c r="A220" s="1">
        <v>227</v>
      </c>
      <c r="B220" s="2">
        <v>42444.866666666669</v>
      </c>
      <c r="C220" s="2" t="str">
        <f t="shared" si="5"/>
        <v>03</v>
      </c>
      <c r="D220" s="2">
        <v>42444.875694444447</v>
      </c>
      <c r="E220" s="2" t="str">
        <f t="shared" si="5"/>
        <v>03</v>
      </c>
      <c r="F220" t="s">
        <v>7</v>
      </c>
      <c r="G220" t="s">
        <v>31</v>
      </c>
      <c r="H220" t="s">
        <v>80</v>
      </c>
      <c r="I220">
        <v>2.8</v>
      </c>
      <c r="J220" t="s">
        <v>9</v>
      </c>
    </row>
    <row r="221" spans="1:10" x14ac:dyDescent="0.25">
      <c r="A221" s="1">
        <v>228</v>
      </c>
      <c r="B221" s="2">
        <v>42445.481944444437</v>
      </c>
      <c r="C221" s="2" t="str">
        <f t="shared" si="5"/>
        <v>03</v>
      </c>
      <c r="D221" s="2">
        <v>42445.489583333343</v>
      </c>
      <c r="E221" s="2" t="str">
        <f t="shared" si="5"/>
        <v>03</v>
      </c>
      <c r="F221" t="s">
        <v>7</v>
      </c>
      <c r="G221" t="s">
        <v>80</v>
      </c>
      <c r="H221" t="s">
        <v>81</v>
      </c>
      <c r="I221">
        <v>1.7</v>
      </c>
      <c r="J221" t="s">
        <v>9</v>
      </c>
    </row>
    <row r="222" spans="1:10" x14ac:dyDescent="0.25">
      <c r="A222" s="1">
        <v>229</v>
      </c>
      <c r="B222" s="2">
        <v>42445.613888888889</v>
      </c>
      <c r="C222" s="2" t="str">
        <f t="shared" si="5"/>
        <v>03</v>
      </c>
      <c r="D222" s="2">
        <v>42445.621527777781</v>
      </c>
      <c r="E222" s="2" t="str">
        <f t="shared" si="5"/>
        <v>03</v>
      </c>
      <c r="F222" t="s">
        <v>7</v>
      </c>
      <c r="G222" t="s">
        <v>83</v>
      </c>
      <c r="H222" t="s">
        <v>77</v>
      </c>
      <c r="I222">
        <v>2</v>
      </c>
    </row>
    <row r="223" spans="1:10" x14ac:dyDescent="0.25">
      <c r="A223" s="1">
        <v>230</v>
      </c>
      <c r="B223" s="2">
        <v>42445.779861111107</v>
      </c>
      <c r="C223" s="2" t="str">
        <f t="shared" si="5"/>
        <v>03</v>
      </c>
      <c r="D223" s="2">
        <v>42445.788888888892</v>
      </c>
      <c r="E223" s="2" t="str">
        <f t="shared" si="5"/>
        <v>03</v>
      </c>
      <c r="F223" t="s">
        <v>7</v>
      </c>
      <c r="G223" t="s">
        <v>77</v>
      </c>
      <c r="H223" t="s">
        <v>81</v>
      </c>
      <c r="I223">
        <v>2.1</v>
      </c>
      <c r="J223" t="s">
        <v>9</v>
      </c>
    </row>
    <row r="224" spans="1:10" x14ac:dyDescent="0.25">
      <c r="A224" s="1">
        <v>231</v>
      </c>
      <c r="B224" s="2">
        <v>42446.022916666669</v>
      </c>
      <c r="C224" s="2" t="str">
        <f t="shared" si="5"/>
        <v>03</v>
      </c>
      <c r="D224" s="2">
        <v>42446.030555555553</v>
      </c>
      <c r="E224" s="2" t="str">
        <f t="shared" si="5"/>
        <v>03</v>
      </c>
      <c r="F224" t="s">
        <v>55</v>
      </c>
      <c r="G224" t="s">
        <v>31</v>
      </c>
      <c r="H224" t="s">
        <v>80</v>
      </c>
      <c r="I224">
        <v>1.7</v>
      </c>
    </row>
    <row r="225" spans="1:10" x14ac:dyDescent="0.25">
      <c r="A225" s="1">
        <v>232</v>
      </c>
      <c r="B225" s="2">
        <v>42446.536111111112</v>
      </c>
      <c r="C225" s="2" t="str">
        <f t="shared" si="5"/>
        <v>03</v>
      </c>
      <c r="D225" s="2">
        <v>42446.632638888892</v>
      </c>
      <c r="E225" s="2" t="str">
        <f t="shared" si="5"/>
        <v>03</v>
      </c>
      <c r="F225" t="s">
        <v>7</v>
      </c>
      <c r="G225" t="s">
        <v>87</v>
      </c>
      <c r="H225" t="s">
        <v>88</v>
      </c>
      <c r="I225">
        <v>136</v>
      </c>
      <c r="J225" t="s">
        <v>13</v>
      </c>
    </row>
    <row r="226" spans="1:10" x14ac:dyDescent="0.25">
      <c r="A226" s="1">
        <v>233</v>
      </c>
      <c r="B226" s="2">
        <v>42446.636111111111</v>
      </c>
      <c r="C226" s="2" t="str">
        <f t="shared" si="5"/>
        <v>03</v>
      </c>
      <c r="D226" s="2">
        <v>42446.665277777778</v>
      </c>
      <c r="E226" s="2" t="str">
        <f t="shared" si="5"/>
        <v>03</v>
      </c>
      <c r="F226" t="s">
        <v>7</v>
      </c>
      <c r="G226" t="s">
        <v>88</v>
      </c>
      <c r="H226" t="s">
        <v>33</v>
      </c>
      <c r="I226">
        <v>30.2</v>
      </c>
      <c r="J226" t="s">
        <v>11</v>
      </c>
    </row>
    <row r="227" spans="1:10" x14ac:dyDescent="0.25">
      <c r="A227" s="1">
        <v>234</v>
      </c>
      <c r="B227" s="2">
        <v>42446.722222222219</v>
      </c>
      <c r="C227" s="2" t="str">
        <f t="shared" si="5"/>
        <v>03</v>
      </c>
      <c r="D227" s="2">
        <v>42446.751388888893</v>
      </c>
      <c r="E227" s="2" t="str">
        <f t="shared" si="5"/>
        <v>03</v>
      </c>
      <c r="F227" t="s">
        <v>7</v>
      </c>
      <c r="G227" t="s">
        <v>21</v>
      </c>
      <c r="H227" t="s">
        <v>89</v>
      </c>
      <c r="I227">
        <v>15.5</v>
      </c>
      <c r="J227" t="s">
        <v>9</v>
      </c>
    </row>
    <row r="228" spans="1:10" x14ac:dyDescent="0.25">
      <c r="A228" s="1">
        <v>235</v>
      </c>
      <c r="B228" s="2">
        <v>42446.782638888893</v>
      </c>
      <c r="C228" s="2" t="str">
        <f t="shared" si="5"/>
        <v>03</v>
      </c>
      <c r="D228" s="2">
        <v>42446.79791666667</v>
      </c>
      <c r="E228" s="2" t="str">
        <f t="shared" si="5"/>
        <v>03</v>
      </c>
      <c r="F228" t="s">
        <v>55</v>
      </c>
      <c r="G228" t="s">
        <v>33</v>
      </c>
      <c r="H228" t="s">
        <v>33</v>
      </c>
      <c r="I228">
        <v>4.9000000000000004</v>
      </c>
    </row>
    <row r="229" spans="1:10" x14ac:dyDescent="0.25">
      <c r="A229" s="1">
        <v>236</v>
      </c>
      <c r="B229" s="2">
        <v>42446.872916666667</v>
      </c>
      <c r="C229" s="2" t="str">
        <f t="shared" si="5"/>
        <v>03</v>
      </c>
      <c r="D229" s="2">
        <v>42446.894444444442</v>
      </c>
      <c r="E229" s="2" t="str">
        <f t="shared" si="5"/>
        <v>03</v>
      </c>
      <c r="F229" t="s">
        <v>55</v>
      </c>
      <c r="G229" t="s">
        <v>33</v>
      </c>
      <c r="H229" t="s">
        <v>33</v>
      </c>
      <c r="I229">
        <v>12.6</v>
      </c>
    </row>
    <row r="230" spans="1:10" x14ac:dyDescent="0.25">
      <c r="A230" s="1">
        <v>237</v>
      </c>
      <c r="B230" s="2">
        <v>42446.908333333333</v>
      </c>
      <c r="C230" s="2" t="str">
        <f t="shared" si="5"/>
        <v>03</v>
      </c>
      <c r="D230" s="2">
        <v>42446.919444444437</v>
      </c>
      <c r="E230" s="2" t="str">
        <f t="shared" si="5"/>
        <v>03</v>
      </c>
      <c r="F230" t="s">
        <v>55</v>
      </c>
      <c r="G230" t="s">
        <v>90</v>
      </c>
      <c r="H230" t="s">
        <v>21</v>
      </c>
      <c r="I230">
        <v>10.4</v>
      </c>
    </row>
    <row r="231" spans="1:10" x14ac:dyDescent="0.25">
      <c r="A231" s="1">
        <v>238</v>
      </c>
      <c r="B231" s="2">
        <v>42447.302083333343</v>
      </c>
      <c r="C231" s="2" t="str">
        <f t="shared" si="5"/>
        <v>03</v>
      </c>
      <c r="D231" s="2">
        <v>42447.306250000001</v>
      </c>
      <c r="E231" s="2" t="str">
        <f t="shared" si="5"/>
        <v>03</v>
      </c>
      <c r="F231" t="s">
        <v>7</v>
      </c>
      <c r="G231" t="s">
        <v>21</v>
      </c>
      <c r="H231" t="s">
        <v>21</v>
      </c>
      <c r="I231">
        <v>1.1000000000000001</v>
      </c>
      <c r="J231" t="s">
        <v>9</v>
      </c>
    </row>
    <row r="232" spans="1:10" x14ac:dyDescent="0.25">
      <c r="A232" s="1">
        <v>239</v>
      </c>
      <c r="B232" s="2">
        <v>42447.357638888891</v>
      </c>
      <c r="C232" s="2" t="str">
        <f t="shared" si="5"/>
        <v>03</v>
      </c>
      <c r="D232" s="2">
        <v>42447.363194444442</v>
      </c>
      <c r="E232" s="2" t="str">
        <f t="shared" si="5"/>
        <v>03</v>
      </c>
      <c r="F232" t="s">
        <v>7</v>
      </c>
      <c r="G232" t="s">
        <v>21</v>
      </c>
      <c r="H232" t="s">
        <v>21</v>
      </c>
      <c r="I232">
        <v>1.1000000000000001</v>
      </c>
      <c r="J232" t="s">
        <v>9</v>
      </c>
    </row>
    <row r="233" spans="1:10" x14ac:dyDescent="0.25">
      <c r="A233" s="1">
        <v>240</v>
      </c>
      <c r="B233" s="2">
        <v>42447.76666666667</v>
      </c>
      <c r="C233" s="2" t="str">
        <f t="shared" si="5"/>
        <v>03</v>
      </c>
      <c r="D233" s="2">
        <v>42447.797222222223</v>
      </c>
      <c r="E233" s="2" t="str">
        <f t="shared" si="5"/>
        <v>03</v>
      </c>
      <c r="F233" t="s">
        <v>7</v>
      </c>
      <c r="G233" t="s">
        <v>21</v>
      </c>
      <c r="H233" t="s">
        <v>90</v>
      </c>
      <c r="I233">
        <v>13.2</v>
      </c>
      <c r="J233" t="s">
        <v>11</v>
      </c>
    </row>
    <row r="234" spans="1:10" x14ac:dyDescent="0.25">
      <c r="A234" s="1">
        <v>241</v>
      </c>
      <c r="B234" s="2">
        <v>42447.807638888888</v>
      </c>
      <c r="C234" s="2" t="str">
        <f t="shared" si="5"/>
        <v>03</v>
      </c>
      <c r="D234" s="2">
        <v>42447.811805555553</v>
      </c>
      <c r="E234" s="2" t="str">
        <f t="shared" si="5"/>
        <v>03</v>
      </c>
      <c r="F234" t="s">
        <v>7</v>
      </c>
      <c r="G234" t="s">
        <v>90</v>
      </c>
      <c r="H234" t="s">
        <v>90</v>
      </c>
      <c r="I234">
        <v>1</v>
      </c>
      <c r="J234" t="s">
        <v>10</v>
      </c>
    </row>
    <row r="235" spans="1:10" x14ac:dyDescent="0.25">
      <c r="A235" s="1">
        <v>242</v>
      </c>
      <c r="B235" s="2">
        <v>42447.875694444447</v>
      </c>
      <c r="C235" s="2" t="str">
        <f t="shared" si="5"/>
        <v>03</v>
      </c>
      <c r="D235" s="2">
        <v>42447.885416666657</v>
      </c>
      <c r="E235" s="2" t="str">
        <f t="shared" si="5"/>
        <v>03</v>
      </c>
      <c r="F235" t="s">
        <v>7</v>
      </c>
      <c r="G235" t="s">
        <v>90</v>
      </c>
      <c r="H235" t="s">
        <v>21</v>
      </c>
      <c r="I235">
        <v>9.1999999999999993</v>
      </c>
      <c r="J235" t="s">
        <v>13</v>
      </c>
    </row>
    <row r="236" spans="1:10" x14ac:dyDescent="0.25">
      <c r="A236" s="1">
        <v>243</v>
      </c>
      <c r="B236" s="2">
        <v>42448.381944444453</v>
      </c>
      <c r="C236" s="2" t="str">
        <f t="shared" si="5"/>
        <v>03</v>
      </c>
      <c r="D236" s="2">
        <v>42448.392361111109</v>
      </c>
      <c r="E236" s="2" t="str">
        <f t="shared" si="5"/>
        <v>03</v>
      </c>
      <c r="F236" t="s">
        <v>7</v>
      </c>
      <c r="G236" t="s">
        <v>21</v>
      </c>
      <c r="H236" t="s">
        <v>90</v>
      </c>
      <c r="I236">
        <v>9.4</v>
      </c>
      <c r="J236" t="s">
        <v>9</v>
      </c>
    </row>
    <row r="237" spans="1:10" x14ac:dyDescent="0.25">
      <c r="A237" s="1">
        <v>244</v>
      </c>
      <c r="B237" s="2">
        <v>42448.534722222219</v>
      </c>
      <c r="C237" s="2" t="str">
        <f t="shared" si="5"/>
        <v>03</v>
      </c>
      <c r="D237" s="2">
        <v>42448.550694444442</v>
      </c>
      <c r="E237" s="2" t="str">
        <f t="shared" si="5"/>
        <v>03</v>
      </c>
      <c r="F237" t="s">
        <v>7</v>
      </c>
      <c r="G237" t="s">
        <v>33</v>
      </c>
      <c r="H237" t="s">
        <v>91</v>
      </c>
      <c r="I237">
        <v>12</v>
      </c>
      <c r="J237" t="s">
        <v>13</v>
      </c>
    </row>
    <row r="238" spans="1:10" x14ac:dyDescent="0.25">
      <c r="A238" s="1">
        <v>245</v>
      </c>
      <c r="B238" s="2">
        <v>42448.584027777782</v>
      </c>
      <c r="C238" s="2" t="str">
        <f t="shared" si="5"/>
        <v>03</v>
      </c>
      <c r="D238" s="2">
        <v>42448.622916666667</v>
      </c>
      <c r="E238" s="2" t="str">
        <f t="shared" si="5"/>
        <v>03</v>
      </c>
      <c r="F238" t="s">
        <v>7</v>
      </c>
      <c r="G238" t="s">
        <v>91</v>
      </c>
      <c r="H238" t="s">
        <v>33</v>
      </c>
      <c r="I238">
        <v>35.1</v>
      </c>
      <c r="J238" t="s">
        <v>13</v>
      </c>
    </row>
    <row r="239" spans="1:10" x14ac:dyDescent="0.25">
      <c r="A239" s="1">
        <v>246</v>
      </c>
      <c r="B239" s="2">
        <v>42448.648611111108</v>
      </c>
      <c r="C239" s="2" t="str">
        <f t="shared" si="5"/>
        <v>03</v>
      </c>
      <c r="D239" s="2">
        <v>42448.693055555559</v>
      </c>
      <c r="E239" s="2" t="str">
        <f t="shared" si="5"/>
        <v>03</v>
      </c>
      <c r="F239" t="s">
        <v>7</v>
      </c>
      <c r="G239" t="s">
        <v>33</v>
      </c>
      <c r="H239" t="s">
        <v>92</v>
      </c>
      <c r="I239">
        <v>36.5</v>
      </c>
      <c r="J239" t="s">
        <v>9</v>
      </c>
    </row>
    <row r="240" spans="1:10" x14ac:dyDescent="0.25">
      <c r="A240" s="1">
        <v>247</v>
      </c>
      <c r="B240" s="2">
        <v>42448.720138888893</v>
      </c>
      <c r="C240" s="2" t="str">
        <f t="shared" si="5"/>
        <v>03</v>
      </c>
      <c r="D240" s="2">
        <v>42448.730555555558</v>
      </c>
      <c r="E240" s="2" t="str">
        <f t="shared" si="5"/>
        <v>03</v>
      </c>
      <c r="F240" t="s">
        <v>7</v>
      </c>
      <c r="G240" t="s">
        <v>92</v>
      </c>
      <c r="H240" t="s">
        <v>93</v>
      </c>
      <c r="I240">
        <v>3.1</v>
      </c>
      <c r="J240" t="s">
        <v>9</v>
      </c>
    </row>
    <row r="241" spans="1:10" x14ac:dyDescent="0.25">
      <c r="A241" s="1">
        <v>248</v>
      </c>
      <c r="B241" s="2">
        <v>42448.734027777777</v>
      </c>
      <c r="C241" s="2" t="str">
        <f t="shared" si="5"/>
        <v>03</v>
      </c>
      <c r="D241" s="2">
        <v>42448.740972222222</v>
      </c>
      <c r="E241" s="2" t="str">
        <f t="shared" si="5"/>
        <v>03</v>
      </c>
      <c r="F241" t="s">
        <v>7</v>
      </c>
      <c r="G241" t="s">
        <v>93</v>
      </c>
      <c r="H241" t="s">
        <v>93</v>
      </c>
      <c r="I241">
        <v>2.1</v>
      </c>
      <c r="J241" t="s">
        <v>10</v>
      </c>
    </row>
    <row r="242" spans="1:10" x14ac:dyDescent="0.25">
      <c r="A242" s="1">
        <v>249</v>
      </c>
      <c r="B242" s="2">
        <v>42448.744444444441</v>
      </c>
      <c r="C242" s="2" t="str">
        <f t="shared" si="5"/>
        <v>03</v>
      </c>
      <c r="D242" s="2">
        <v>42448.75</v>
      </c>
      <c r="E242" s="2" t="str">
        <f t="shared" si="5"/>
        <v>03</v>
      </c>
      <c r="F242" t="s">
        <v>7</v>
      </c>
      <c r="G242" t="s">
        <v>93</v>
      </c>
      <c r="H242" t="s">
        <v>93</v>
      </c>
      <c r="I242">
        <v>1.2</v>
      </c>
    </row>
    <row r="243" spans="1:10" x14ac:dyDescent="0.25">
      <c r="A243" s="1">
        <v>250</v>
      </c>
      <c r="B243" s="2">
        <v>42448.786805555559</v>
      </c>
      <c r="C243" s="2" t="str">
        <f t="shared" si="5"/>
        <v>03</v>
      </c>
      <c r="D243" s="2">
        <v>42448.811805555553</v>
      </c>
      <c r="E243" s="2" t="str">
        <f t="shared" si="5"/>
        <v>03</v>
      </c>
      <c r="F243" t="s">
        <v>7</v>
      </c>
      <c r="G243" t="s">
        <v>93</v>
      </c>
      <c r="H243" t="s">
        <v>92</v>
      </c>
      <c r="I243">
        <v>7.5</v>
      </c>
      <c r="J243" t="s">
        <v>11</v>
      </c>
    </row>
    <row r="244" spans="1:10" x14ac:dyDescent="0.25">
      <c r="A244" s="1">
        <v>251</v>
      </c>
      <c r="B244" s="2">
        <v>42448.814583333333</v>
      </c>
      <c r="C244" s="2" t="str">
        <f t="shared" si="5"/>
        <v>03</v>
      </c>
      <c r="D244" s="2">
        <v>42448.86041666667</v>
      </c>
      <c r="E244" s="2" t="str">
        <f t="shared" si="5"/>
        <v>03</v>
      </c>
      <c r="F244" t="s">
        <v>7</v>
      </c>
      <c r="G244" t="s">
        <v>92</v>
      </c>
      <c r="H244" t="s">
        <v>33</v>
      </c>
      <c r="I244">
        <v>57</v>
      </c>
      <c r="J244" t="s">
        <v>13</v>
      </c>
    </row>
    <row r="245" spans="1:10" x14ac:dyDescent="0.25">
      <c r="A245" s="1">
        <v>252</v>
      </c>
      <c r="B245" s="2">
        <v>42449.317361111112</v>
      </c>
      <c r="C245" s="2" t="str">
        <f t="shared" si="5"/>
        <v>03</v>
      </c>
      <c r="D245" s="2">
        <v>42449.324999999997</v>
      </c>
      <c r="E245" s="2" t="str">
        <f t="shared" si="5"/>
        <v>03</v>
      </c>
      <c r="F245" t="s">
        <v>7</v>
      </c>
      <c r="G245" t="s">
        <v>21</v>
      </c>
      <c r="H245" t="s">
        <v>94</v>
      </c>
      <c r="I245">
        <v>5.9</v>
      </c>
      <c r="J245" t="s">
        <v>11</v>
      </c>
    </row>
    <row r="246" spans="1:10" x14ac:dyDescent="0.25">
      <c r="A246" s="1">
        <v>253</v>
      </c>
      <c r="B246" s="2">
        <v>42449.487500000003</v>
      </c>
      <c r="C246" s="2" t="str">
        <f t="shared" si="5"/>
        <v>03</v>
      </c>
      <c r="D246" s="2">
        <v>42449.49722222222</v>
      </c>
      <c r="E246" s="2" t="str">
        <f t="shared" si="5"/>
        <v>03</v>
      </c>
      <c r="F246" t="s">
        <v>7</v>
      </c>
      <c r="G246" t="s">
        <v>94</v>
      </c>
      <c r="H246" t="s">
        <v>21</v>
      </c>
      <c r="I246">
        <v>6.2</v>
      </c>
      <c r="J246" t="s">
        <v>11</v>
      </c>
    </row>
    <row r="247" spans="1:10" x14ac:dyDescent="0.25">
      <c r="A247" s="1">
        <v>254</v>
      </c>
      <c r="B247" s="2">
        <v>42449.713888888888</v>
      </c>
      <c r="C247" s="2" t="str">
        <f t="shared" si="5"/>
        <v>03</v>
      </c>
      <c r="D247" s="2">
        <v>42449.731944444437</v>
      </c>
      <c r="E247" s="2" t="str">
        <f t="shared" si="5"/>
        <v>03</v>
      </c>
      <c r="F247" t="s">
        <v>7</v>
      </c>
      <c r="G247" t="s">
        <v>21</v>
      </c>
      <c r="H247" t="s">
        <v>90</v>
      </c>
      <c r="I247">
        <v>10.4</v>
      </c>
    </row>
    <row r="248" spans="1:10" x14ac:dyDescent="0.25">
      <c r="A248" s="1">
        <v>255</v>
      </c>
      <c r="B248" s="2">
        <v>42449.773611111108</v>
      </c>
      <c r="C248" s="2" t="str">
        <f t="shared" si="5"/>
        <v>03</v>
      </c>
      <c r="D248" s="2">
        <v>42449.777777777781</v>
      </c>
      <c r="E248" s="2" t="str">
        <f t="shared" si="5"/>
        <v>03</v>
      </c>
      <c r="F248" t="s">
        <v>55</v>
      </c>
      <c r="G248" t="s">
        <v>90</v>
      </c>
      <c r="H248" t="s">
        <v>95</v>
      </c>
      <c r="I248">
        <v>1.2</v>
      </c>
    </row>
    <row r="249" spans="1:10" x14ac:dyDescent="0.25">
      <c r="A249" s="1">
        <v>256</v>
      </c>
      <c r="B249" s="2">
        <v>42449.78125</v>
      </c>
      <c r="C249" s="2" t="str">
        <f t="shared" si="5"/>
        <v>03</v>
      </c>
      <c r="D249" s="2">
        <v>42449.79583333333</v>
      </c>
      <c r="E249" s="2" t="str">
        <f t="shared" si="5"/>
        <v>03</v>
      </c>
      <c r="F249" t="s">
        <v>7</v>
      </c>
      <c r="G249" t="s">
        <v>95</v>
      </c>
      <c r="H249" t="s">
        <v>21</v>
      </c>
      <c r="I249">
        <v>9.6</v>
      </c>
      <c r="J249" t="s">
        <v>13</v>
      </c>
    </row>
    <row r="250" spans="1:10" x14ac:dyDescent="0.25">
      <c r="A250" s="1">
        <v>257</v>
      </c>
      <c r="B250" s="2">
        <v>42450.431250000001</v>
      </c>
      <c r="C250" s="2" t="str">
        <f t="shared" si="5"/>
        <v>03</v>
      </c>
      <c r="D250" s="2">
        <v>42450.43472222222</v>
      </c>
      <c r="E250" s="2" t="str">
        <f t="shared" si="5"/>
        <v>03</v>
      </c>
      <c r="F250" t="s">
        <v>55</v>
      </c>
      <c r="G250" t="s">
        <v>21</v>
      </c>
      <c r="H250" t="s">
        <v>31</v>
      </c>
      <c r="I250">
        <v>1</v>
      </c>
    </row>
    <row r="251" spans="1:10" x14ac:dyDescent="0.25">
      <c r="A251" s="1">
        <v>258</v>
      </c>
      <c r="B251" s="2">
        <v>42450.670138888891</v>
      </c>
      <c r="C251" s="2" t="str">
        <f t="shared" si="5"/>
        <v>03</v>
      </c>
      <c r="D251" s="2">
        <v>42450.675694444442</v>
      </c>
      <c r="E251" s="2" t="str">
        <f t="shared" si="5"/>
        <v>03</v>
      </c>
      <c r="F251" t="s">
        <v>7</v>
      </c>
      <c r="G251" t="s">
        <v>31</v>
      </c>
      <c r="H251" t="s">
        <v>21</v>
      </c>
      <c r="I251">
        <v>0.9</v>
      </c>
      <c r="J251" t="s">
        <v>9</v>
      </c>
    </row>
    <row r="252" spans="1:10" x14ac:dyDescent="0.25">
      <c r="A252" s="1">
        <v>259</v>
      </c>
      <c r="B252" s="2">
        <v>42450.790972222218</v>
      </c>
      <c r="C252" s="2" t="str">
        <f t="shared" si="5"/>
        <v>03</v>
      </c>
      <c r="D252" s="2">
        <v>42450.802083333343</v>
      </c>
      <c r="E252" s="2" t="str">
        <f t="shared" si="5"/>
        <v>03</v>
      </c>
      <c r="F252" t="s">
        <v>7</v>
      </c>
      <c r="G252" t="s">
        <v>21</v>
      </c>
      <c r="H252" t="s">
        <v>90</v>
      </c>
      <c r="I252">
        <v>8.8000000000000007</v>
      </c>
    </row>
    <row r="253" spans="1:10" x14ac:dyDescent="0.25">
      <c r="A253" s="1">
        <v>260</v>
      </c>
      <c r="B253" s="2">
        <v>42450.845833333333</v>
      </c>
      <c r="C253" s="2" t="str">
        <f t="shared" si="5"/>
        <v>03</v>
      </c>
      <c r="D253" s="2">
        <v>42450.871527777781</v>
      </c>
      <c r="E253" s="2" t="str">
        <f t="shared" si="5"/>
        <v>03</v>
      </c>
      <c r="F253" t="s">
        <v>7</v>
      </c>
      <c r="G253" t="s">
        <v>90</v>
      </c>
      <c r="H253" t="s">
        <v>21</v>
      </c>
      <c r="I253">
        <v>25.6</v>
      </c>
      <c r="J253" t="s">
        <v>9</v>
      </c>
    </row>
    <row r="254" spans="1:10" x14ac:dyDescent="0.25">
      <c r="A254" s="1">
        <v>261</v>
      </c>
      <c r="B254" s="2">
        <v>42451.261805555558</v>
      </c>
      <c r="C254" s="2" t="str">
        <f t="shared" si="5"/>
        <v>03</v>
      </c>
      <c r="D254" s="2">
        <v>42451.279861111107</v>
      </c>
      <c r="E254" s="2" t="str">
        <f t="shared" si="5"/>
        <v>03</v>
      </c>
      <c r="F254" t="s">
        <v>7</v>
      </c>
      <c r="G254" t="s">
        <v>21</v>
      </c>
      <c r="H254" t="s">
        <v>96</v>
      </c>
      <c r="I254">
        <v>23</v>
      </c>
      <c r="J254" t="s">
        <v>9</v>
      </c>
    </row>
    <row r="255" spans="1:10" x14ac:dyDescent="0.25">
      <c r="A255" s="1">
        <v>262</v>
      </c>
      <c r="B255" s="2">
        <v>42451.504166666673</v>
      </c>
      <c r="C255" s="2" t="str">
        <f t="shared" si="5"/>
        <v>03</v>
      </c>
      <c r="D255" s="2">
        <v>42451.51666666667</v>
      </c>
      <c r="E255" s="2" t="str">
        <f t="shared" si="5"/>
        <v>03</v>
      </c>
      <c r="F255" t="s">
        <v>55</v>
      </c>
      <c r="G255" t="s">
        <v>16</v>
      </c>
      <c r="H255" t="s">
        <v>15</v>
      </c>
      <c r="I255">
        <v>8.1</v>
      </c>
    </row>
    <row r="256" spans="1:10" x14ac:dyDescent="0.25">
      <c r="A256" s="1">
        <v>263</v>
      </c>
      <c r="B256" s="2">
        <v>42451.8</v>
      </c>
      <c r="C256" s="2" t="str">
        <f t="shared" si="5"/>
        <v>03</v>
      </c>
      <c r="D256" s="2">
        <v>42451.809027777781</v>
      </c>
      <c r="E256" s="2" t="str">
        <f t="shared" si="5"/>
        <v>03</v>
      </c>
      <c r="F256" t="s">
        <v>55</v>
      </c>
      <c r="G256" t="s">
        <v>38</v>
      </c>
      <c r="H256" t="s">
        <v>38</v>
      </c>
      <c r="I256">
        <v>1.4</v>
      </c>
    </row>
    <row r="257" spans="1:10" x14ac:dyDescent="0.25">
      <c r="A257" s="1">
        <v>264</v>
      </c>
      <c r="B257" s="2">
        <v>42452.609027777777</v>
      </c>
      <c r="C257" s="2" t="str">
        <f t="shared" si="5"/>
        <v>03</v>
      </c>
      <c r="D257" s="2">
        <v>42452.612500000003</v>
      </c>
      <c r="E257" s="2" t="str">
        <f t="shared" si="5"/>
        <v>03</v>
      </c>
      <c r="F257" t="s">
        <v>55</v>
      </c>
      <c r="G257" t="s">
        <v>38</v>
      </c>
      <c r="H257" t="s">
        <v>57</v>
      </c>
      <c r="I257">
        <v>1.7</v>
      </c>
    </row>
    <row r="258" spans="1:10" x14ac:dyDescent="0.25">
      <c r="A258" s="1">
        <v>265</v>
      </c>
      <c r="B258" s="2">
        <v>42452.620138888888</v>
      </c>
      <c r="C258" s="2" t="str">
        <f t="shared" si="5"/>
        <v>03</v>
      </c>
      <c r="D258" s="2">
        <v>42452.624305555553</v>
      </c>
      <c r="E258" s="2" t="str">
        <f t="shared" si="5"/>
        <v>03</v>
      </c>
      <c r="F258" t="s">
        <v>55</v>
      </c>
      <c r="G258" t="s">
        <v>57</v>
      </c>
      <c r="H258" t="s">
        <v>38</v>
      </c>
      <c r="I258">
        <v>1.6</v>
      </c>
    </row>
    <row r="259" spans="1:10" x14ac:dyDescent="0.25">
      <c r="A259" s="1">
        <v>266</v>
      </c>
      <c r="B259" s="2">
        <v>42453.824305555558</v>
      </c>
      <c r="C259" s="2" t="str">
        <f t="shared" ref="C259:E322" si="6" xml:space="preserve"> TEXT(B259, "mm")</f>
        <v>03</v>
      </c>
      <c r="D259" s="2">
        <v>42453.82916666667</v>
      </c>
      <c r="E259" s="2" t="str">
        <f t="shared" si="6"/>
        <v>03</v>
      </c>
      <c r="F259" t="s">
        <v>55</v>
      </c>
      <c r="G259" t="s">
        <v>38</v>
      </c>
      <c r="H259" t="s">
        <v>44</v>
      </c>
      <c r="I259">
        <v>2</v>
      </c>
    </row>
    <row r="260" spans="1:10" x14ac:dyDescent="0.25">
      <c r="A260" s="1">
        <v>267</v>
      </c>
      <c r="B260" s="2">
        <v>42453.856944444437</v>
      </c>
      <c r="C260" s="2" t="str">
        <f t="shared" si="6"/>
        <v>03</v>
      </c>
      <c r="D260" s="2">
        <v>42453.861111111109</v>
      </c>
      <c r="E260" s="2" t="str">
        <f t="shared" si="6"/>
        <v>03</v>
      </c>
      <c r="F260" t="s">
        <v>7</v>
      </c>
      <c r="G260" t="s">
        <v>44</v>
      </c>
      <c r="H260" t="s">
        <v>38</v>
      </c>
      <c r="I260">
        <v>2.2000000000000002</v>
      </c>
    </row>
    <row r="261" spans="1:10" x14ac:dyDescent="0.25">
      <c r="A261" s="1">
        <v>268</v>
      </c>
      <c r="B261" s="2">
        <v>42454.558333333327</v>
      </c>
      <c r="C261" s="2" t="str">
        <f t="shared" si="6"/>
        <v>03</v>
      </c>
      <c r="D261" s="2">
        <v>42454.681944444441</v>
      </c>
      <c r="E261" s="2" t="str">
        <f t="shared" si="6"/>
        <v>03</v>
      </c>
      <c r="F261" t="s">
        <v>7</v>
      </c>
      <c r="G261" t="s">
        <v>15</v>
      </c>
      <c r="H261" t="s">
        <v>97</v>
      </c>
      <c r="I261">
        <v>144</v>
      </c>
      <c r="J261" t="s">
        <v>13</v>
      </c>
    </row>
    <row r="262" spans="1:10" x14ac:dyDescent="0.25">
      <c r="A262" s="1">
        <v>269</v>
      </c>
      <c r="B262" s="2">
        <v>42454.702777777777</v>
      </c>
      <c r="C262" s="2" t="str">
        <f t="shared" si="6"/>
        <v>03</v>
      </c>
      <c r="D262" s="2">
        <v>42454.931944444441</v>
      </c>
      <c r="E262" s="2" t="str">
        <f t="shared" si="6"/>
        <v>03</v>
      </c>
      <c r="F262" t="s">
        <v>7</v>
      </c>
      <c r="G262" t="s">
        <v>97</v>
      </c>
      <c r="H262" t="s">
        <v>98</v>
      </c>
      <c r="I262">
        <v>310.3</v>
      </c>
      <c r="J262" t="s">
        <v>13</v>
      </c>
    </row>
    <row r="263" spans="1:10" x14ac:dyDescent="0.25">
      <c r="A263" s="1">
        <v>270</v>
      </c>
      <c r="B263" s="2">
        <v>42454.95416666667</v>
      </c>
      <c r="C263" s="2" t="str">
        <f t="shared" si="6"/>
        <v>03</v>
      </c>
      <c r="D263" s="2">
        <v>42455.068749999999</v>
      </c>
      <c r="E263" s="2" t="str">
        <f t="shared" si="6"/>
        <v>03</v>
      </c>
      <c r="F263" t="s">
        <v>7</v>
      </c>
      <c r="G263" t="s">
        <v>98</v>
      </c>
      <c r="H263" t="s">
        <v>99</v>
      </c>
      <c r="I263">
        <v>201</v>
      </c>
      <c r="J263" t="s">
        <v>11</v>
      </c>
    </row>
    <row r="264" spans="1:10" x14ac:dyDescent="0.25">
      <c r="A264" s="1">
        <v>271</v>
      </c>
      <c r="B264" s="2">
        <v>42455.586805555547</v>
      </c>
      <c r="C264" s="2" t="str">
        <f t="shared" si="6"/>
        <v>03</v>
      </c>
      <c r="D264" s="2">
        <v>42455.603472222218</v>
      </c>
      <c r="E264" s="2" t="str">
        <f t="shared" si="6"/>
        <v>03</v>
      </c>
      <c r="F264" t="s">
        <v>55</v>
      </c>
      <c r="G264" t="s">
        <v>100</v>
      </c>
      <c r="H264" t="s">
        <v>101</v>
      </c>
      <c r="I264">
        <v>6.7</v>
      </c>
    </row>
    <row r="265" spans="1:10" x14ac:dyDescent="0.25">
      <c r="A265" s="1">
        <v>272</v>
      </c>
      <c r="B265" s="2">
        <v>42455.638194444437</v>
      </c>
      <c r="C265" s="2" t="str">
        <f t="shared" si="6"/>
        <v>03</v>
      </c>
      <c r="D265" s="2">
        <v>42455.65902777778</v>
      </c>
      <c r="E265" s="2" t="str">
        <f t="shared" si="6"/>
        <v>03</v>
      </c>
      <c r="F265" t="s">
        <v>55</v>
      </c>
      <c r="G265" t="s">
        <v>99</v>
      </c>
      <c r="H265" t="s">
        <v>102</v>
      </c>
      <c r="I265">
        <v>8.8000000000000007</v>
      </c>
    </row>
    <row r="266" spans="1:10" x14ac:dyDescent="0.25">
      <c r="A266" s="1">
        <v>273</v>
      </c>
      <c r="B266" s="2">
        <v>42455.68472222222</v>
      </c>
      <c r="C266" s="2" t="str">
        <f t="shared" si="6"/>
        <v>03</v>
      </c>
      <c r="D266" s="2">
        <v>42455.6875</v>
      </c>
      <c r="E266" s="2" t="str">
        <f t="shared" si="6"/>
        <v>03</v>
      </c>
      <c r="F266" t="s">
        <v>55</v>
      </c>
      <c r="G266" t="s">
        <v>103</v>
      </c>
      <c r="H266" t="s">
        <v>103</v>
      </c>
      <c r="I266">
        <v>1.2</v>
      </c>
    </row>
    <row r="267" spans="1:10" x14ac:dyDescent="0.25">
      <c r="A267" s="1">
        <v>274</v>
      </c>
      <c r="B267" s="2">
        <v>42456.021527777782</v>
      </c>
      <c r="C267" s="2" t="str">
        <f t="shared" si="6"/>
        <v>03</v>
      </c>
      <c r="D267" s="2">
        <v>42456.027777777781</v>
      </c>
      <c r="E267" s="2" t="str">
        <f t="shared" si="6"/>
        <v>03</v>
      </c>
      <c r="F267" t="s">
        <v>7</v>
      </c>
      <c r="G267" t="s">
        <v>103</v>
      </c>
      <c r="H267" t="s">
        <v>103</v>
      </c>
      <c r="I267">
        <v>2.1</v>
      </c>
      <c r="J267" t="s">
        <v>10</v>
      </c>
    </row>
    <row r="268" spans="1:10" x14ac:dyDescent="0.25">
      <c r="A268" s="1">
        <v>275</v>
      </c>
      <c r="B268" s="2">
        <v>42456.049305555563</v>
      </c>
      <c r="C268" s="2" t="str">
        <f t="shared" si="6"/>
        <v>03</v>
      </c>
      <c r="D268" s="2">
        <v>42456.057638888888</v>
      </c>
      <c r="E268" s="2" t="str">
        <f t="shared" si="6"/>
        <v>03</v>
      </c>
      <c r="F268" t="s">
        <v>7</v>
      </c>
      <c r="G268" t="s">
        <v>102</v>
      </c>
      <c r="H268" t="s">
        <v>99</v>
      </c>
      <c r="I268">
        <v>6.6</v>
      </c>
      <c r="J268" t="s">
        <v>9</v>
      </c>
    </row>
    <row r="269" spans="1:10" x14ac:dyDescent="0.25">
      <c r="A269" s="1">
        <v>276</v>
      </c>
      <c r="B269" s="2">
        <v>42456.646527777782</v>
      </c>
      <c r="C269" s="2" t="str">
        <f t="shared" si="6"/>
        <v>03</v>
      </c>
      <c r="D269" s="2">
        <v>42456.663888888892</v>
      </c>
      <c r="E269" s="2" t="str">
        <f t="shared" si="6"/>
        <v>03</v>
      </c>
      <c r="F269" t="s">
        <v>7</v>
      </c>
      <c r="G269" t="s">
        <v>99</v>
      </c>
      <c r="H269" t="s">
        <v>102</v>
      </c>
      <c r="I269">
        <v>6.1</v>
      </c>
      <c r="J269" t="s">
        <v>13</v>
      </c>
    </row>
    <row r="270" spans="1:10" x14ac:dyDescent="0.25">
      <c r="A270" s="1">
        <v>277</v>
      </c>
      <c r="B270" s="2">
        <v>42456.893055555563</v>
      </c>
      <c r="C270" s="2" t="str">
        <f t="shared" si="6"/>
        <v>03</v>
      </c>
      <c r="D270" s="2">
        <v>42456.90347222222</v>
      </c>
      <c r="E270" s="2" t="str">
        <f t="shared" si="6"/>
        <v>03</v>
      </c>
      <c r="F270" t="s">
        <v>55</v>
      </c>
      <c r="G270" t="s">
        <v>102</v>
      </c>
      <c r="H270" t="s">
        <v>102</v>
      </c>
      <c r="I270">
        <v>6.9</v>
      </c>
    </row>
    <row r="271" spans="1:10" x14ac:dyDescent="0.25">
      <c r="A271" s="1">
        <v>278</v>
      </c>
      <c r="B271" s="2">
        <v>42456.961111111108</v>
      </c>
      <c r="C271" s="2" t="str">
        <f t="shared" si="6"/>
        <v>03</v>
      </c>
      <c r="D271" s="2">
        <v>42456.970833333333</v>
      </c>
      <c r="E271" s="2" t="str">
        <f t="shared" si="6"/>
        <v>03</v>
      </c>
      <c r="F271" t="s">
        <v>55</v>
      </c>
      <c r="G271" t="s">
        <v>102</v>
      </c>
      <c r="H271" t="s">
        <v>99</v>
      </c>
      <c r="I271">
        <v>7.3</v>
      </c>
    </row>
    <row r="272" spans="1:10" x14ac:dyDescent="0.25">
      <c r="A272" s="1">
        <v>279</v>
      </c>
      <c r="B272" s="2">
        <v>42457.520138888889</v>
      </c>
      <c r="C272" s="2" t="str">
        <f t="shared" si="6"/>
        <v>03</v>
      </c>
      <c r="D272" s="2">
        <v>42457.529166666667</v>
      </c>
      <c r="E272" s="2" t="str">
        <f t="shared" si="6"/>
        <v>03</v>
      </c>
      <c r="F272" t="s">
        <v>55</v>
      </c>
      <c r="G272" t="s">
        <v>99</v>
      </c>
      <c r="H272" t="s">
        <v>102</v>
      </c>
      <c r="I272">
        <v>3.6</v>
      </c>
    </row>
    <row r="273" spans="1:10" x14ac:dyDescent="0.25">
      <c r="A273" s="1">
        <v>280</v>
      </c>
      <c r="B273" s="2">
        <v>42457.8125</v>
      </c>
      <c r="C273" s="2" t="str">
        <f t="shared" si="6"/>
        <v>03</v>
      </c>
      <c r="D273" s="2">
        <v>42457.849305555559</v>
      </c>
      <c r="E273" s="2" t="str">
        <f t="shared" si="6"/>
        <v>03</v>
      </c>
      <c r="F273" t="s">
        <v>55</v>
      </c>
      <c r="G273" t="s">
        <v>100</v>
      </c>
      <c r="H273" t="s">
        <v>104</v>
      </c>
      <c r="I273">
        <v>27.2</v>
      </c>
    </row>
    <row r="274" spans="1:10" x14ac:dyDescent="0.25">
      <c r="A274" s="1">
        <v>281</v>
      </c>
      <c r="B274" s="2">
        <v>42457.954861111109</v>
      </c>
      <c r="C274" s="2" t="str">
        <f t="shared" si="6"/>
        <v>03</v>
      </c>
      <c r="D274" s="2">
        <v>42457.976388888892</v>
      </c>
      <c r="E274" s="2" t="str">
        <f t="shared" si="6"/>
        <v>03</v>
      </c>
      <c r="F274" t="s">
        <v>55</v>
      </c>
      <c r="G274" t="s">
        <v>102</v>
      </c>
      <c r="H274" t="s">
        <v>99</v>
      </c>
      <c r="I274">
        <v>25.7</v>
      </c>
    </row>
    <row r="275" spans="1:10" x14ac:dyDescent="0.25">
      <c r="A275" s="1">
        <v>282</v>
      </c>
      <c r="B275" s="2">
        <v>42458.643750000003</v>
      </c>
      <c r="C275" s="2" t="str">
        <f t="shared" si="6"/>
        <v>03</v>
      </c>
      <c r="D275" s="2">
        <v>42458.674305555563</v>
      </c>
      <c r="E275" s="2" t="str">
        <f t="shared" si="6"/>
        <v>03</v>
      </c>
      <c r="F275" t="s">
        <v>55</v>
      </c>
      <c r="G275" t="s">
        <v>99</v>
      </c>
      <c r="H275" t="s">
        <v>102</v>
      </c>
      <c r="I275">
        <v>13.6</v>
      </c>
    </row>
    <row r="276" spans="1:10" x14ac:dyDescent="0.25">
      <c r="A276" s="1">
        <v>283</v>
      </c>
      <c r="B276" s="2">
        <v>42458.763888888891</v>
      </c>
      <c r="C276" s="2" t="str">
        <f t="shared" si="6"/>
        <v>03</v>
      </c>
      <c r="D276" s="2">
        <v>42458.777083333327</v>
      </c>
      <c r="E276" s="2" t="str">
        <f t="shared" si="6"/>
        <v>03</v>
      </c>
      <c r="F276" t="s">
        <v>55</v>
      </c>
      <c r="G276" t="s">
        <v>105</v>
      </c>
      <c r="H276" t="s">
        <v>106</v>
      </c>
      <c r="I276">
        <v>6.2</v>
      </c>
    </row>
    <row r="277" spans="1:10" x14ac:dyDescent="0.25">
      <c r="A277" s="1">
        <v>284</v>
      </c>
      <c r="B277" s="2">
        <v>42458.853472222218</v>
      </c>
      <c r="C277" s="2" t="str">
        <f t="shared" si="6"/>
        <v>03</v>
      </c>
      <c r="D277" s="2">
        <v>42458.863888888889</v>
      </c>
      <c r="E277" s="2" t="str">
        <f t="shared" si="6"/>
        <v>03</v>
      </c>
      <c r="F277" t="s">
        <v>55</v>
      </c>
      <c r="G277" t="s">
        <v>106</v>
      </c>
      <c r="H277" t="s">
        <v>105</v>
      </c>
      <c r="I277">
        <v>6</v>
      </c>
    </row>
    <row r="278" spans="1:10" x14ac:dyDescent="0.25">
      <c r="A278" s="1">
        <v>285</v>
      </c>
      <c r="B278" s="2">
        <v>42458.961111111108</v>
      </c>
      <c r="C278" s="2" t="str">
        <f t="shared" si="6"/>
        <v>03</v>
      </c>
      <c r="D278" s="2">
        <v>42458.972916666673</v>
      </c>
      <c r="E278" s="2" t="str">
        <f t="shared" si="6"/>
        <v>03</v>
      </c>
      <c r="F278" t="s">
        <v>55</v>
      </c>
      <c r="G278" t="s">
        <v>102</v>
      </c>
      <c r="H278" t="s">
        <v>99</v>
      </c>
      <c r="I278">
        <v>13.8</v>
      </c>
    </row>
    <row r="279" spans="1:10" x14ac:dyDescent="0.25">
      <c r="A279" s="1">
        <v>286</v>
      </c>
      <c r="B279" s="2">
        <v>42459.920138888891</v>
      </c>
      <c r="C279" s="2" t="str">
        <f t="shared" si="6"/>
        <v>03</v>
      </c>
      <c r="D279" s="2">
        <v>42459.954861111109</v>
      </c>
      <c r="E279" s="2" t="str">
        <f t="shared" si="6"/>
        <v>03</v>
      </c>
      <c r="F279" t="s">
        <v>7</v>
      </c>
      <c r="G279" t="s">
        <v>102</v>
      </c>
      <c r="H279" t="s">
        <v>99</v>
      </c>
      <c r="I279">
        <v>28.8</v>
      </c>
      <c r="J279" t="s">
        <v>9</v>
      </c>
    </row>
    <row r="280" spans="1:10" x14ac:dyDescent="0.25">
      <c r="A280" s="1">
        <v>287</v>
      </c>
      <c r="B280" s="2">
        <v>42460.532638888893</v>
      </c>
      <c r="C280" s="2" t="str">
        <f t="shared" si="6"/>
        <v>03</v>
      </c>
      <c r="D280" s="2">
        <v>42460.556944444441</v>
      </c>
      <c r="E280" s="2" t="str">
        <f t="shared" si="6"/>
        <v>03</v>
      </c>
      <c r="F280" t="s">
        <v>7</v>
      </c>
      <c r="G280" t="s">
        <v>99</v>
      </c>
      <c r="H280" t="s">
        <v>102</v>
      </c>
      <c r="I280">
        <v>16.100000000000001</v>
      </c>
      <c r="J280" t="s">
        <v>24</v>
      </c>
    </row>
    <row r="281" spans="1:10" x14ac:dyDescent="0.25">
      <c r="A281" s="1">
        <v>288</v>
      </c>
      <c r="B281" s="2">
        <v>42460.609027777777</v>
      </c>
      <c r="C281" s="2" t="str">
        <f t="shared" si="6"/>
        <v>03</v>
      </c>
      <c r="D281" s="2">
        <v>42460.631249999999</v>
      </c>
      <c r="E281" s="2" t="str">
        <f t="shared" si="6"/>
        <v>03</v>
      </c>
      <c r="F281" t="s">
        <v>7</v>
      </c>
      <c r="G281" t="s">
        <v>102</v>
      </c>
      <c r="H281" t="s">
        <v>99</v>
      </c>
      <c r="I281">
        <v>16.399999999999999</v>
      </c>
      <c r="J281" t="s">
        <v>9</v>
      </c>
    </row>
    <row r="282" spans="1:10" x14ac:dyDescent="0.25">
      <c r="A282" s="1">
        <v>289</v>
      </c>
      <c r="B282" s="2">
        <v>42461.571527777778</v>
      </c>
      <c r="C282" s="2" t="str">
        <f t="shared" si="6"/>
        <v>04</v>
      </c>
      <c r="D282" s="2">
        <v>42461.584027777782</v>
      </c>
      <c r="E282" s="2" t="str">
        <f t="shared" si="6"/>
        <v>04</v>
      </c>
      <c r="F282" t="s">
        <v>7</v>
      </c>
      <c r="G282" t="s">
        <v>99</v>
      </c>
      <c r="H282" t="s">
        <v>99</v>
      </c>
      <c r="I282">
        <v>11</v>
      </c>
      <c r="J282" t="s">
        <v>11</v>
      </c>
    </row>
    <row r="283" spans="1:10" x14ac:dyDescent="0.25">
      <c r="A283" s="1">
        <v>290</v>
      </c>
      <c r="B283" s="2">
        <v>42461.60833333333</v>
      </c>
      <c r="C283" s="2" t="str">
        <f t="shared" si="6"/>
        <v>04</v>
      </c>
      <c r="D283" s="2">
        <v>42461.64166666667</v>
      </c>
      <c r="E283" s="2" t="str">
        <f t="shared" si="6"/>
        <v>04</v>
      </c>
      <c r="F283" t="s">
        <v>7</v>
      </c>
      <c r="G283" t="s">
        <v>99</v>
      </c>
      <c r="H283" t="s">
        <v>102</v>
      </c>
      <c r="I283">
        <v>15.5</v>
      </c>
      <c r="J283" t="s">
        <v>13</v>
      </c>
    </row>
    <row r="284" spans="1:10" x14ac:dyDescent="0.25">
      <c r="A284" s="1">
        <v>291</v>
      </c>
      <c r="B284" s="2">
        <v>42461.667361111111</v>
      </c>
      <c r="C284" s="2" t="str">
        <f t="shared" si="6"/>
        <v>04</v>
      </c>
      <c r="D284" s="2">
        <v>42461.700694444437</v>
      </c>
      <c r="E284" s="2" t="str">
        <f t="shared" si="6"/>
        <v>04</v>
      </c>
      <c r="F284" t="s">
        <v>7</v>
      </c>
      <c r="G284" t="s">
        <v>102</v>
      </c>
      <c r="H284" t="s">
        <v>99</v>
      </c>
      <c r="I284">
        <v>20.3</v>
      </c>
      <c r="J284" t="s">
        <v>11</v>
      </c>
    </row>
    <row r="285" spans="1:10" x14ac:dyDescent="0.25">
      <c r="A285" s="1">
        <v>292</v>
      </c>
      <c r="B285" s="2">
        <v>42461.702777777777</v>
      </c>
      <c r="C285" s="2" t="str">
        <f t="shared" si="6"/>
        <v>04</v>
      </c>
      <c r="D285" s="2">
        <v>42461.706250000003</v>
      </c>
      <c r="E285" s="2" t="str">
        <f t="shared" si="6"/>
        <v>04</v>
      </c>
      <c r="F285" t="s">
        <v>55</v>
      </c>
      <c r="G285" t="s">
        <v>99</v>
      </c>
      <c r="H285" t="s">
        <v>99</v>
      </c>
      <c r="I285">
        <v>0.7</v>
      </c>
    </row>
    <row r="286" spans="1:10" x14ac:dyDescent="0.25">
      <c r="A286" s="1">
        <v>293</v>
      </c>
      <c r="B286" s="2">
        <v>42462.366666666669</v>
      </c>
      <c r="C286" s="2" t="str">
        <f t="shared" si="6"/>
        <v>04</v>
      </c>
      <c r="D286" s="2">
        <v>42462.37777777778</v>
      </c>
      <c r="E286" s="2" t="str">
        <f t="shared" si="6"/>
        <v>04</v>
      </c>
      <c r="F286" t="s">
        <v>55</v>
      </c>
      <c r="G286" t="s">
        <v>99</v>
      </c>
      <c r="H286" t="s">
        <v>99</v>
      </c>
      <c r="I286">
        <v>5.5</v>
      </c>
    </row>
    <row r="287" spans="1:10" x14ac:dyDescent="0.25">
      <c r="A287" s="1">
        <v>294</v>
      </c>
      <c r="B287" s="2">
        <v>42462.459027777782</v>
      </c>
      <c r="C287" s="2" t="str">
        <f t="shared" si="6"/>
        <v>04</v>
      </c>
      <c r="D287" s="2">
        <v>42462.469444444447</v>
      </c>
      <c r="E287" s="2" t="str">
        <f t="shared" si="6"/>
        <v>04</v>
      </c>
      <c r="F287" t="s">
        <v>55</v>
      </c>
      <c r="G287" t="s">
        <v>99</v>
      </c>
      <c r="H287" t="s">
        <v>99</v>
      </c>
      <c r="I287">
        <v>5.0999999999999996</v>
      </c>
    </row>
    <row r="288" spans="1:10" x14ac:dyDescent="0.25">
      <c r="A288" s="1">
        <v>295</v>
      </c>
      <c r="B288" s="2">
        <v>42462.51458333333</v>
      </c>
      <c r="C288" s="2" t="str">
        <f t="shared" si="6"/>
        <v>04</v>
      </c>
      <c r="D288" s="2">
        <v>42462.615972222222</v>
      </c>
      <c r="E288" s="2" t="str">
        <f t="shared" si="6"/>
        <v>04</v>
      </c>
      <c r="F288" t="s">
        <v>7</v>
      </c>
      <c r="G288" t="s">
        <v>99</v>
      </c>
      <c r="H288" t="s">
        <v>107</v>
      </c>
      <c r="I288">
        <v>77.3</v>
      </c>
      <c r="J288" t="s">
        <v>13</v>
      </c>
    </row>
    <row r="289" spans="1:10" x14ac:dyDescent="0.25">
      <c r="A289" s="1">
        <v>296</v>
      </c>
      <c r="B289" s="2">
        <v>42462.706250000003</v>
      </c>
      <c r="C289" s="2" t="str">
        <f t="shared" si="6"/>
        <v>04</v>
      </c>
      <c r="D289" s="2">
        <v>42462.756249999999</v>
      </c>
      <c r="E289" s="2" t="str">
        <f t="shared" si="6"/>
        <v>04</v>
      </c>
      <c r="F289" t="s">
        <v>7</v>
      </c>
      <c r="G289" t="s">
        <v>107</v>
      </c>
      <c r="H289" t="s">
        <v>98</v>
      </c>
      <c r="I289">
        <v>80.5</v>
      </c>
      <c r="J289" t="s">
        <v>13</v>
      </c>
    </row>
    <row r="290" spans="1:10" x14ac:dyDescent="0.25">
      <c r="A290" s="1">
        <v>297</v>
      </c>
      <c r="B290" s="2">
        <v>42462.818055555559</v>
      </c>
      <c r="C290" s="2" t="str">
        <f t="shared" si="6"/>
        <v>04</v>
      </c>
      <c r="D290" s="2">
        <v>42462.941666666673</v>
      </c>
      <c r="E290" s="2" t="str">
        <f t="shared" si="6"/>
        <v>04</v>
      </c>
      <c r="F290" t="s">
        <v>7</v>
      </c>
      <c r="G290" t="s">
        <v>98</v>
      </c>
      <c r="H290" t="s">
        <v>108</v>
      </c>
      <c r="I290">
        <v>174.2</v>
      </c>
      <c r="J290" t="s">
        <v>13</v>
      </c>
    </row>
    <row r="291" spans="1:10" x14ac:dyDescent="0.25">
      <c r="A291" s="1">
        <v>298</v>
      </c>
      <c r="B291" s="2">
        <v>42462.96597222222</v>
      </c>
      <c r="C291" s="2" t="str">
        <f t="shared" si="6"/>
        <v>04</v>
      </c>
      <c r="D291" s="2">
        <v>42463.06527777778</v>
      </c>
      <c r="E291" s="2" t="str">
        <f t="shared" si="6"/>
        <v>04</v>
      </c>
      <c r="F291" t="s">
        <v>7</v>
      </c>
      <c r="G291" t="s">
        <v>108</v>
      </c>
      <c r="H291" t="s">
        <v>109</v>
      </c>
      <c r="I291">
        <v>144</v>
      </c>
      <c r="J291" t="s">
        <v>11</v>
      </c>
    </row>
    <row r="292" spans="1:10" x14ac:dyDescent="0.25">
      <c r="A292" s="1">
        <v>299</v>
      </c>
      <c r="B292" s="2">
        <v>42463.083333333343</v>
      </c>
      <c r="C292" s="2" t="str">
        <f t="shared" si="6"/>
        <v>04</v>
      </c>
      <c r="D292" s="2">
        <v>42463.177777777782</v>
      </c>
      <c r="E292" s="2" t="str">
        <f t="shared" si="6"/>
        <v>04</v>
      </c>
      <c r="F292" t="s">
        <v>7</v>
      </c>
      <c r="G292" t="s">
        <v>109</v>
      </c>
      <c r="H292" t="s">
        <v>15</v>
      </c>
      <c r="I292">
        <v>159.30000000000001</v>
      </c>
      <c r="J292" t="s">
        <v>11</v>
      </c>
    </row>
    <row r="293" spans="1:10" x14ac:dyDescent="0.25">
      <c r="A293" s="1">
        <v>300</v>
      </c>
      <c r="B293" s="2">
        <v>42465.902083333327</v>
      </c>
      <c r="C293" s="2" t="str">
        <f t="shared" si="6"/>
        <v>04</v>
      </c>
      <c r="D293" s="2">
        <v>42465.913194444453</v>
      </c>
      <c r="E293" s="2" t="str">
        <f t="shared" si="6"/>
        <v>04</v>
      </c>
      <c r="F293" t="s">
        <v>7</v>
      </c>
      <c r="G293" t="s">
        <v>38</v>
      </c>
      <c r="H293" t="s">
        <v>73</v>
      </c>
      <c r="I293">
        <v>7.9</v>
      </c>
      <c r="J293" t="s">
        <v>9</v>
      </c>
    </row>
    <row r="294" spans="1:10" x14ac:dyDescent="0.25">
      <c r="A294" s="1">
        <v>301</v>
      </c>
      <c r="B294" s="2">
        <v>42466.013194444437</v>
      </c>
      <c r="C294" s="2" t="str">
        <f t="shared" si="6"/>
        <v>04</v>
      </c>
      <c r="D294" s="2">
        <v>42466.027083333327</v>
      </c>
      <c r="E294" s="2" t="str">
        <f t="shared" si="6"/>
        <v>04</v>
      </c>
      <c r="F294" t="s">
        <v>7</v>
      </c>
      <c r="G294" t="s">
        <v>73</v>
      </c>
      <c r="H294" t="s">
        <v>38</v>
      </c>
      <c r="I294">
        <v>8</v>
      </c>
      <c r="J294" t="s">
        <v>9</v>
      </c>
    </row>
    <row r="295" spans="1:10" x14ac:dyDescent="0.25">
      <c r="A295" s="1">
        <v>302</v>
      </c>
      <c r="B295" s="2">
        <v>42467.763888888891</v>
      </c>
      <c r="C295" s="2" t="str">
        <f t="shared" si="6"/>
        <v>04</v>
      </c>
      <c r="D295" s="2">
        <v>42467.777083333327</v>
      </c>
      <c r="E295" s="2" t="str">
        <f t="shared" si="6"/>
        <v>04</v>
      </c>
      <c r="F295" t="s">
        <v>7</v>
      </c>
      <c r="G295" t="s">
        <v>15</v>
      </c>
      <c r="H295" t="s">
        <v>16</v>
      </c>
      <c r="I295">
        <v>6.1</v>
      </c>
      <c r="J295" t="s">
        <v>9</v>
      </c>
    </row>
    <row r="296" spans="1:10" x14ac:dyDescent="0.25">
      <c r="A296" s="1">
        <v>303</v>
      </c>
      <c r="B296" s="2">
        <v>42467.822916666657</v>
      </c>
      <c r="C296" s="2" t="str">
        <f t="shared" si="6"/>
        <v>04</v>
      </c>
      <c r="D296" s="2">
        <v>42467.833333333343</v>
      </c>
      <c r="E296" s="2" t="str">
        <f t="shared" si="6"/>
        <v>04</v>
      </c>
      <c r="F296" t="s">
        <v>7</v>
      </c>
      <c r="G296" t="s">
        <v>16</v>
      </c>
      <c r="H296" t="s">
        <v>15</v>
      </c>
      <c r="I296">
        <v>6.1</v>
      </c>
      <c r="J296" t="s">
        <v>10</v>
      </c>
    </row>
    <row r="297" spans="1:10" x14ac:dyDescent="0.25">
      <c r="A297" s="1">
        <v>304</v>
      </c>
      <c r="B297" s="2">
        <v>42468.520833333343</v>
      </c>
      <c r="C297" s="2" t="str">
        <f t="shared" si="6"/>
        <v>04</v>
      </c>
      <c r="D297" s="2">
        <v>42468.533333333333</v>
      </c>
      <c r="E297" s="2" t="str">
        <f t="shared" si="6"/>
        <v>04</v>
      </c>
      <c r="F297" t="s">
        <v>7</v>
      </c>
      <c r="G297" t="s">
        <v>15</v>
      </c>
      <c r="H297" t="s">
        <v>36</v>
      </c>
      <c r="I297">
        <v>10.5</v>
      </c>
      <c r="J297" t="s">
        <v>11</v>
      </c>
    </row>
    <row r="298" spans="1:10" x14ac:dyDescent="0.25">
      <c r="A298" s="1">
        <v>305</v>
      </c>
      <c r="B298" s="2">
        <v>42468.56527777778</v>
      </c>
      <c r="C298" s="2" t="str">
        <f t="shared" si="6"/>
        <v>04</v>
      </c>
      <c r="D298" s="2">
        <v>42468.57708333333</v>
      </c>
      <c r="E298" s="2" t="str">
        <f t="shared" si="6"/>
        <v>04</v>
      </c>
      <c r="F298" t="s">
        <v>7</v>
      </c>
      <c r="G298" t="s">
        <v>36</v>
      </c>
      <c r="H298" t="s">
        <v>15</v>
      </c>
      <c r="I298">
        <v>8.6999999999999993</v>
      </c>
      <c r="J298" t="s">
        <v>9</v>
      </c>
    </row>
    <row r="299" spans="1:10" x14ac:dyDescent="0.25">
      <c r="A299" s="1">
        <v>306</v>
      </c>
      <c r="B299" s="2">
        <v>42468.579861111109</v>
      </c>
      <c r="C299" s="2" t="str">
        <f t="shared" si="6"/>
        <v>04</v>
      </c>
      <c r="D299" s="2">
        <v>42468.585416666669</v>
      </c>
      <c r="E299" s="2" t="str">
        <f t="shared" si="6"/>
        <v>04</v>
      </c>
      <c r="F299" t="s">
        <v>7</v>
      </c>
      <c r="G299" t="s">
        <v>44</v>
      </c>
      <c r="H299" t="s">
        <v>38</v>
      </c>
      <c r="I299">
        <v>1.8</v>
      </c>
      <c r="J299" t="s">
        <v>10</v>
      </c>
    </row>
    <row r="300" spans="1:10" x14ac:dyDescent="0.25">
      <c r="A300" s="1">
        <v>307</v>
      </c>
      <c r="B300" s="2">
        <v>42468.613194444442</v>
      </c>
      <c r="C300" s="2" t="str">
        <f t="shared" si="6"/>
        <v>04</v>
      </c>
      <c r="D300" s="2">
        <v>42468.638888888891</v>
      </c>
      <c r="E300" s="2" t="str">
        <f t="shared" si="6"/>
        <v>04</v>
      </c>
      <c r="F300" t="s">
        <v>7</v>
      </c>
      <c r="G300" t="s">
        <v>15</v>
      </c>
      <c r="H300" t="s">
        <v>40</v>
      </c>
      <c r="I300">
        <v>19.100000000000001</v>
      </c>
      <c r="J300" t="s">
        <v>11</v>
      </c>
    </row>
    <row r="301" spans="1:10" x14ac:dyDescent="0.25">
      <c r="A301" s="1">
        <v>308</v>
      </c>
      <c r="B301" s="2">
        <v>42468.670138888891</v>
      </c>
      <c r="C301" s="2" t="str">
        <f t="shared" si="6"/>
        <v>04</v>
      </c>
      <c r="D301" s="2">
        <v>42468.699305555558</v>
      </c>
      <c r="E301" s="2" t="str">
        <f t="shared" si="6"/>
        <v>04</v>
      </c>
      <c r="F301" t="s">
        <v>7</v>
      </c>
      <c r="G301" t="s">
        <v>40</v>
      </c>
      <c r="H301" t="s">
        <v>15</v>
      </c>
      <c r="I301">
        <v>18.600000000000001</v>
      </c>
      <c r="J301" t="s">
        <v>11</v>
      </c>
    </row>
    <row r="302" spans="1:10" x14ac:dyDescent="0.25">
      <c r="A302" s="1">
        <v>309</v>
      </c>
      <c r="B302" s="2">
        <v>42472.385416666657</v>
      </c>
      <c r="C302" s="2" t="str">
        <f t="shared" si="6"/>
        <v>04</v>
      </c>
      <c r="D302" s="2">
        <v>42472.393055555563</v>
      </c>
      <c r="E302" s="2" t="str">
        <f t="shared" si="6"/>
        <v>04</v>
      </c>
      <c r="F302" t="s">
        <v>7</v>
      </c>
      <c r="G302" t="s">
        <v>38</v>
      </c>
      <c r="H302" t="s">
        <v>54</v>
      </c>
      <c r="I302">
        <v>2.8</v>
      </c>
      <c r="J302" t="s">
        <v>10</v>
      </c>
    </row>
    <row r="303" spans="1:10" x14ac:dyDescent="0.25">
      <c r="A303" s="1">
        <v>310</v>
      </c>
      <c r="B303" s="2">
        <v>42472.398611111108</v>
      </c>
      <c r="C303" s="2" t="str">
        <f t="shared" si="6"/>
        <v>04</v>
      </c>
      <c r="D303" s="2">
        <v>42472.411805555559</v>
      </c>
      <c r="E303" s="2" t="str">
        <f t="shared" si="6"/>
        <v>04</v>
      </c>
      <c r="F303" t="s">
        <v>7</v>
      </c>
      <c r="G303" t="s">
        <v>15</v>
      </c>
      <c r="H303" t="s">
        <v>40</v>
      </c>
      <c r="I303">
        <v>8.9</v>
      </c>
      <c r="J303" t="s">
        <v>11</v>
      </c>
    </row>
    <row r="304" spans="1:10" x14ac:dyDescent="0.25">
      <c r="A304" s="1">
        <v>311</v>
      </c>
      <c r="B304" s="2">
        <v>42472.456944444442</v>
      </c>
      <c r="C304" s="2" t="str">
        <f t="shared" si="6"/>
        <v>04</v>
      </c>
      <c r="D304" s="2">
        <v>42472.470833333333</v>
      </c>
      <c r="E304" s="2" t="str">
        <f t="shared" si="6"/>
        <v>04</v>
      </c>
      <c r="F304" t="s">
        <v>7</v>
      </c>
      <c r="G304" t="s">
        <v>110</v>
      </c>
      <c r="H304" t="s">
        <v>111</v>
      </c>
      <c r="I304">
        <v>7.5</v>
      </c>
      <c r="J304" t="s">
        <v>13</v>
      </c>
    </row>
    <row r="305" spans="1:10" x14ac:dyDescent="0.25">
      <c r="A305" s="1">
        <v>312</v>
      </c>
      <c r="B305" s="2">
        <v>42472.515277777777</v>
      </c>
      <c r="C305" s="2" t="str">
        <f t="shared" si="6"/>
        <v>04</v>
      </c>
      <c r="D305" s="2">
        <v>42472.530555555553</v>
      </c>
      <c r="E305" s="2" t="str">
        <f t="shared" si="6"/>
        <v>04</v>
      </c>
      <c r="F305" t="s">
        <v>7</v>
      </c>
      <c r="G305" t="s">
        <v>40</v>
      </c>
      <c r="H305" t="s">
        <v>16</v>
      </c>
      <c r="I305">
        <v>15.9</v>
      </c>
      <c r="J305" t="s">
        <v>11</v>
      </c>
    </row>
    <row r="306" spans="1:10" x14ac:dyDescent="0.25">
      <c r="A306" s="1">
        <v>313</v>
      </c>
      <c r="B306" s="2">
        <v>42472.570833333331</v>
      </c>
      <c r="C306" s="2" t="str">
        <f t="shared" si="6"/>
        <v>04</v>
      </c>
      <c r="D306" s="2">
        <v>42472.584027777782</v>
      </c>
      <c r="E306" s="2" t="str">
        <f t="shared" si="6"/>
        <v>04</v>
      </c>
      <c r="F306" t="s">
        <v>7</v>
      </c>
      <c r="G306" t="s">
        <v>16</v>
      </c>
      <c r="H306" t="s">
        <v>15</v>
      </c>
      <c r="I306">
        <v>6.5</v>
      </c>
      <c r="J306" t="s">
        <v>9</v>
      </c>
    </row>
    <row r="307" spans="1:10" x14ac:dyDescent="0.25">
      <c r="A307" s="1">
        <v>314</v>
      </c>
      <c r="B307" s="2">
        <v>42474.311805555553</v>
      </c>
      <c r="C307" s="2" t="str">
        <f t="shared" si="6"/>
        <v>04</v>
      </c>
      <c r="D307" s="2">
        <v>42474.339583333327</v>
      </c>
      <c r="E307" s="2" t="str">
        <f t="shared" si="6"/>
        <v>04</v>
      </c>
      <c r="F307" t="s">
        <v>7</v>
      </c>
      <c r="G307" t="s">
        <v>15</v>
      </c>
      <c r="H307" t="s">
        <v>112</v>
      </c>
      <c r="I307">
        <v>15.3</v>
      </c>
      <c r="J307" t="s">
        <v>24</v>
      </c>
    </row>
    <row r="308" spans="1:10" x14ac:dyDescent="0.25">
      <c r="A308" s="1">
        <v>315</v>
      </c>
      <c r="B308" s="2">
        <v>42474.666666666657</v>
      </c>
      <c r="C308" s="2" t="str">
        <f t="shared" si="6"/>
        <v>04</v>
      </c>
      <c r="D308" s="2">
        <v>42474.696527777778</v>
      </c>
      <c r="E308" s="2" t="str">
        <f t="shared" si="6"/>
        <v>04</v>
      </c>
      <c r="F308" t="s">
        <v>7</v>
      </c>
      <c r="G308" t="s">
        <v>112</v>
      </c>
      <c r="H308" t="s">
        <v>15</v>
      </c>
      <c r="I308">
        <v>13.7</v>
      </c>
      <c r="J308" t="s">
        <v>24</v>
      </c>
    </row>
    <row r="309" spans="1:10" x14ac:dyDescent="0.25">
      <c r="A309" s="1">
        <v>316</v>
      </c>
      <c r="B309" s="2">
        <v>42475.48333333333</v>
      </c>
      <c r="C309" s="2" t="str">
        <f t="shared" si="6"/>
        <v>04</v>
      </c>
      <c r="D309" s="2">
        <v>42475.504861111112</v>
      </c>
      <c r="E309" s="2" t="str">
        <f t="shared" si="6"/>
        <v>04</v>
      </c>
      <c r="F309" t="s">
        <v>7</v>
      </c>
      <c r="G309" t="s">
        <v>15</v>
      </c>
      <c r="H309" t="s">
        <v>40</v>
      </c>
      <c r="I309">
        <v>11.9</v>
      </c>
      <c r="J309" t="s">
        <v>24</v>
      </c>
    </row>
    <row r="310" spans="1:10" x14ac:dyDescent="0.25">
      <c r="A310" s="1">
        <v>317</v>
      </c>
      <c r="B310" s="2">
        <v>42475.520138888889</v>
      </c>
      <c r="C310" s="2" t="str">
        <f t="shared" si="6"/>
        <v>04</v>
      </c>
      <c r="D310" s="2">
        <v>42475.522222222222</v>
      </c>
      <c r="E310" s="2" t="str">
        <f t="shared" si="6"/>
        <v>04</v>
      </c>
      <c r="F310" t="s">
        <v>7</v>
      </c>
      <c r="G310" t="s">
        <v>46</v>
      </c>
      <c r="H310" t="s">
        <v>113</v>
      </c>
      <c r="I310">
        <v>1.4</v>
      </c>
      <c r="J310" t="s">
        <v>10</v>
      </c>
    </row>
    <row r="311" spans="1:10" x14ac:dyDescent="0.25">
      <c r="A311" s="1">
        <v>318</v>
      </c>
      <c r="B311" s="2">
        <v>42475.604861111111</v>
      </c>
      <c r="C311" s="2" t="str">
        <f t="shared" si="6"/>
        <v>04</v>
      </c>
      <c r="D311" s="2">
        <v>42475.625694444447</v>
      </c>
      <c r="E311" s="2" t="str">
        <f t="shared" si="6"/>
        <v>04</v>
      </c>
      <c r="F311" t="s">
        <v>7</v>
      </c>
      <c r="G311" t="s">
        <v>40</v>
      </c>
      <c r="H311" t="s">
        <v>15</v>
      </c>
      <c r="I311">
        <v>15.2</v>
      </c>
      <c r="J311" t="s">
        <v>11</v>
      </c>
    </row>
    <row r="312" spans="1:10" x14ac:dyDescent="0.25">
      <c r="A312" s="1">
        <v>319</v>
      </c>
      <c r="B312" s="2">
        <v>42476.540972222218</v>
      </c>
      <c r="C312" s="2" t="str">
        <f t="shared" si="6"/>
        <v>04</v>
      </c>
      <c r="D312" s="2">
        <v>42476.553472222222</v>
      </c>
      <c r="E312" s="2" t="str">
        <f t="shared" si="6"/>
        <v>04</v>
      </c>
      <c r="F312" t="s">
        <v>7</v>
      </c>
      <c r="G312" t="s">
        <v>15</v>
      </c>
      <c r="H312" t="s">
        <v>16</v>
      </c>
      <c r="I312">
        <v>6</v>
      </c>
      <c r="J312" t="s">
        <v>10</v>
      </c>
    </row>
    <row r="313" spans="1:10" x14ac:dyDescent="0.25">
      <c r="A313" s="1">
        <v>320</v>
      </c>
      <c r="B313" s="2">
        <v>42476.631944444453</v>
      </c>
      <c r="C313" s="2" t="str">
        <f t="shared" si="6"/>
        <v>04</v>
      </c>
      <c r="D313" s="2">
        <v>42476.643055555563</v>
      </c>
      <c r="E313" s="2" t="str">
        <f t="shared" si="6"/>
        <v>04</v>
      </c>
      <c r="F313" t="s">
        <v>7</v>
      </c>
      <c r="G313" t="s">
        <v>16</v>
      </c>
      <c r="H313" t="s">
        <v>15</v>
      </c>
      <c r="I313">
        <v>6.1</v>
      </c>
      <c r="J313" t="s">
        <v>9</v>
      </c>
    </row>
    <row r="314" spans="1:10" x14ac:dyDescent="0.25">
      <c r="A314" s="1">
        <v>321</v>
      </c>
      <c r="B314" s="2">
        <v>42479.738888888889</v>
      </c>
      <c r="C314" s="2" t="str">
        <f t="shared" si="6"/>
        <v>04</v>
      </c>
      <c r="D314" s="2">
        <v>42479.755555555559</v>
      </c>
      <c r="E314" s="2" t="str">
        <f t="shared" si="6"/>
        <v>04</v>
      </c>
      <c r="F314" t="s">
        <v>7</v>
      </c>
      <c r="G314" t="s">
        <v>38</v>
      </c>
      <c r="H314" t="s">
        <v>73</v>
      </c>
      <c r="I314">
        <v>8.1999999999999993</v>
      </c>
      <c r="J314" t="s">
        <v>9</v>
      </c>
    </row>
    <row r="315" spans="1:10" x14ac:dyDescent="0.25">
      <c r="A315" s="1">
        <v>322</v>
      </c>
      <c r="B315" s="2">
        <v>42479.831250000003</v>
      </c>
      <c r="C315" s="2" t="str">
        <f t="shared" si="6"/>
        <v>04</v>
      </c>
      <c r="D315" s="2">
        <v>42479.84652777778</v>
      </c>
      <c r="E315" s="2" t="str">
        <f t="shared" si="6"/>
        <v>04</v>
      </c>
      <c r="F315" t="s">
        <v>7</v>
      </c>
      <c r="G315" t="s">
        <v>73</v>
      </c>
      <c r="H315" t="s">
        <v>38</v>
      </c>
      <c r="I315">
        <v>8</v>
      </c>
      <c r="J315" t="s">
        <v>9</v>
      </c>
    </row>
    <row r="316" spans="1:10" x14ac:dyDescent="0.25">
      <c r="A316" s="1">
        <v>323</v>
      </c>
      <c r="B316" s="2">
        <v>42482.350694444453</v>
      </c>
      <c r="C316" s="2" t="str">
        <f t="shared" si="6"/>
        <v>04</v>
      </c>
      <c r="D316" s="2">
        <v>42482.37777777778</v>
      </c>
      <c r="E316" s="2" t="str">
        <f t="shared" si="6"/>
        <v>04</v>
      </c>
      <c r="F316" t="s">
        <v>7</v>
      </c>
      <c r="G316" t="s">
        <v>15</v>
      </c>
      <c r="H316" t="s">
        <v>40</v>
      </c>
      <c r="I316">
        <v>13.6</v>
      </c>
      <c r="J316" t="s">
        <v>11</v>
      </c>
    </row>
    <row r="317" spans="1:10" x14ac:dyDescent="0.25">
      <c r="A317" s="1">
        <v>324</v>
      </c>
      <c r="B317" s="2">
        <v>42482.423611111109</v>
      </c>
      <c r="C317" s="2" t="str">
        <f t="shared" si="6"/>
        <v>04</v>
      </c>
      <c r="D317" s="2">
        <v>42482.444444444453</v>
      </c>
      <c r="E317" s="2" t="str">
        <f t="shared" si="6"/>
        <v>04</v>
      </c>
      <c r="F317" t="s">
        <v>7</v>
      </c>
      <c r="G317" t="s">
        <v>40</v>
      </c>
      <c r="H317" t="s">
        <v>15</v>
      </c>
      <c r="I317">
        <v>22.5</v>
      </c>
      <c r="J317" t="s">
        <v>11</v>
      </c>
    </row>
    <row r="318" spans="1:10" x14ac:dyDescent="0.25">
      <c r="A318" s="1">
        <v>325</v>
      </c>
      <c r="B318" s="2">
        <v>42482.505555555559</v>
      </c>
      <c r="C318" s="2" t="str">
        <f t="shared" si="6"/>
        <v>04</v>
      </c>
      <c r="D318" s="2">
        <v>42482.519444444442</v>
      </c>
      <c r="E318" s="2" t="str">
        <f t="shared" si="6"/>
        <v>04</v>
      </c>
      <c r="F318" t="s">
        <v>7</v>
      </c>
      <c r="G318" t="s">
        <v>15</v>
      </c>
      <c r="H318" t="s">
        <v>36</v>
      </c>
      <c r="I318">
        <v>10.4</v>
      </c>
      <c r="J318" t="s">
        <v>11</v>
      </c>
    </row>
    <row r="319" spans="1:10" x14ac:dyDescent="0.25">
      <c r="A319" s="1">
        <v>326</v>
      </c>
      <c r="B319" s="2">
        <v>42482.543055555558</v>
      </c>
      <c r="C319" s="2" t="str">
        <f t="shared" si="6"/>
        <v>04</v>
      </c>
      <c r="D319" s="2">
        <v>42482.55972222222</v>
      </c>
      <c r="E319" s="2" t="str">
        <f t="shared" si="6"/>
        <v>04</v>
      </c>
      <c r="F319" t="s">
        <v>7</v>
      </c>
      <c r="G319" t="s">
        <v>36</v>
      </c>
      <c r="H319" t="s">
        <v>15</v>
      </c>
      <c r="I319">
        <v>10</v>
      </c>
      <c r="J319" t="s">
        <v>11</v>
      </c>
    </row>
    <row r="320" spans="1:10" x14ac:dyDescent="0.25">
      <c r="A320" s="1">
        <v>327</v>
      </c>
      <c r="B320" s="2">
        <v>42483.710416666669</v>
      </c>
      <c r="C320" s="2" t="str">
        <f t="shared" si="6"/>
        <v>04</v>
      </c>
      <c r="D320" s="2">
        <v>42483.719444444447</v>
      </c>
      <c r="E320" s="2" t="str">
        <f t="shared" si="6"/>
        <v>04</v>
      </c>
      <c r="F320" t="s">
        <v>7</v>
      </c>
      <c r="G320" t="s">
        <v>38</v>
      </c>
      <c r="H320" t="s">
        <v>56</v>
      </c>
      <c r="I320">
        <v>6</v>
      </c>
      <c r="J320" t="s">
        <v>9</v>
      </c>
    </row>
    <row r="321" spans="1:10" x14ac:dyDescent="0.25">
      <c r="A321" s="1">
        <v>328</v>
      </c>
      <c r="B321" s="2">
        <v>42483.78402777778</v>
      </c>
      <c r="C321" s="2" t="str">
        <f t="shared" si="6"/>
        <v>04</v>
      </c>
      <c r="D321" s="2">
        <v>42483.795138888891</v>
      </c>
      <c r="E321" s="2" t="str">
        <f t="shared" si="6"/>
        <v>04</v>
      </c>
      <c r="F321" t="s">
        <v>7</v>
      </c>
      <c r="G321" t="s">
        <v>56</v>
      </c>
      <c r="H321" t="s">
        <v>38</v>
      </c>
      <c r="I321">
        <v>6.5</v>
      </c>
      <c r="J321" t="s">
        <v>9</v>
      </c>
    </row>
    <row r="322" spans="1:10" x14ac:dyDescent="0.25">
      <c r="A322" s="1">
        <v>329</v>
      </c>
      <c r="B322" s="2">
        <v>42484.796527777777</v>
      </c>
      <c r="C322" s="2" t="str">
        <f t="shared" si="6"/>
        <v>04</v>
      </c>
      <c r="D322" s="2">
        <v>42484.802777777782</v>
      </c>
      <c r="E322" s="2" t="str">
        <f t="shared" si="6"/>
        <v>04</v>
      </c>
      <c r="F322" t="s">
        <v>7</v>
      </c>
      <c r="G322" t="s">
        <v>15</v>
      </c>
      <c r="H322" t="s">
        <v>16</v>
      </c>
      <c r="I322">
        <v>3.1</v>
      </c>
      <c r="J322" t="s">
        <v>10</v>
      </c>
    </row>
    <row r="323" spans="1:10" x14ac:dyDescent="0.25">
      <c r="A323" s="1">
        <v>330</v>
      </c>
      <c r="B323" s="2">
        <v>42484.823611111111</v>
      </c>
      <c r="C323" s="2" t="str">
        <f t="shared" ref="C323:E386" si="7" xml:space="preserve"> TEXT(B323, "mm")</f>
        <v>04</v>
      </c>
      <c r="D323" s="2">
        <v>42484.827777777777</v>
      </c>
      <c r="E323" s="2" t="str">
        <f t="shared" si="7"/>
        <v>04</v>
      </c>
      <c r="F323" t="s">
        <v>7</v>
      </c>
      <c r="G323" t="s">
        <v>114</v>
      </c>
      <c r="H323" t="s">
        <v>114</v>
      </c>
      <c r="I323">
        <v>1.9</v>
      </c>
      <c r="J323" t="s">
        <v>10</v>
      </c>
    </row>
    <row r="324" spans="1:10" x14ac:dyDescent="0.25">
      <c r="A324" s="1">
        <v>331</v>
      </c>
      <c r="B324" s="2">
        <v>42484.90347222222</v>
      </c>
      <c r="C324" s="2" t="str">
        <f t="shared" si="7"/>
        <v>04</v>
      </c>
      <c r="D324" s="2">
        <v>42484.909722222219</v>
      </c>
      <c r="E324" s="2" t="str">
        <f t="shared" si="7"/>
        <v>04</v>
      </c>
      <c r="F324" t="s">
        <v>7</v>
      </c>
      <c r="G324" t="s">
        <v>16</v>
      </c>
      <c r="H324" t="s">
        <v>15</v>
      </c>
      <c r="I324">
        <v>4.2</v>
      </c>
      <c r="J324" t="s">
        <v>53</v>
      </c>
    </row>
    <row r="325" spans="1:10" x14ac:dyDescent="0.25">
      <c r="A325" s="1">
        <v>332</v>
      </c>
      <c r="B325" s="2">
        <v>42487.5625</v>
      </c>
      <c r="C325" s="2" t="str">
        <f t="shared" si="7"/>
        <v>04</v>
      </c>
      <c r="D325" s="2">
        <v>42487.569444444453</v>
      </c>
      <c r="E325" s="2" t="str">
        <f t="shared" si="7"/>
        <v>04</v>
      </c>
      <c r="F325" t="s">
        <v>7</v>
      </c>
      <c r="G325" t="s">
        <v>38</v>
      </c>
      <c r="H325" t="s">
        <v>115</v>
      </c>
      <c r="I325">
        <v>4.9000000000000004</v>
      </c>
      <c r="J325" t="s">
        <v>53</v>
      </c>
    </row>
    <row r="326" spans="1:10" x14ac:dyDescent="0.25">
      <c r="A326" s="1">
        <v>333</v>
      </c>
      <c r="B326" s="2">
        <v>42487.592361111107</v>
      </c>
      <c r="C326" s="2" t="str">
        <f t="shared" si="7"/>
        <v>04</v>
      </c>
      <c r="D326" s="2">
        <v>42487.600694444453</v>
      </c>
      <c r="E326" s="2" t="str">
        <f t="shared" si="7"/>
        <v>04</v>
      </c>
      <c r="F326" t="s">
        <v>7</v>
      </c>
      <c r="G326" t="s">
        <v>115</v>
      </c>
      <c r="H326" t="s">
        <v>38</v>
      </c>
      <c r="I326">
        <v>4.8</v>
      </c>
      <c r="J326" t="s">
        <v>53</v>
      </c>
    </row>
    <row r="327" spans="1:10" x14ac:dyDescent="0.25">
      <c r="A327" s="1">
        <v>334</v>
      </c>
      <c r="B327" s="2">
        <v>42488.506249999999</v>
      </c>
      <c r="C327" s="2" t="str">
        <f t="shared" si="7"/>
        <v>04</v>
      </c>
      <c r="D327" s="2">
        <v>42488.523611111108</v>
      </c>
      <c r="E327" s="2" t="str">
        <f t="shared" si="7"/>
        <v>04</v>
      </c>
      <c r="F327" t="s">
        <v>7</v>
      </c>
      <c r="G327" t="s">
        <v>15</v>
      </c>
      <c r="H327" t="s">
        <v>40</v>
      </c>
      <c r="I327">
        <v>12.4</v>
      </c>
      <c r="J327" t="s">
        <v>13</v>
      </c>
    </row>
    <row r="328" spans="1:10" x14ac:dyDescent="0.25">
      <c r="A328" s="1">
        <v>335</v>
      </c>
      <c r="B328" s="2">
        <v>42488.5625</v>
      </c>
      <c r="C328" s="2" t="str">
        <f t="shared" si="7"/>
        <v>04</v>
      </c>
      <c r="D328" s="2">
        <v>42488.575694444437</v>
      </c>
      <c r="E328" s="2" t="str">
        <f t="shared" si="7"/>
        <v>04</v>
      </c>
      <c r="F328" t="s">
        <v>7</v>
      </c>
      <c r="G328" t="s">
        <v>40</v>
      </c>
      <c r="H328" t="s">
        <v>15</v>
      </c>
      <c r="I328">
        <v>32.799999999999997</v>
      </c>
      <c r="J328" t="s">
        <v>13</v>
      </c>
    </row>
    <row r="329" spans="1:10" x14ac:dyDescent="0.25">
      <c r="A329" s="1">
        <v>336</v>
      </c>
      <c r="B329" s="2">
        <v>42488.923611111109</v>
      </c>
      <c r="C329" s="2" t="str">
        <f t="shared" si="7"/>
        <v>04</v>
      </c>
      <c r="D329" s="2">
        <v>42488.936111111107</v>
      </c>
      <c r="E329" s="2" t="str">
        <f t="shared" si="7"/>
        <v>04</v>
      </c>
      <c r="F329" t="s">
        <v>7</v>
      </c>
      <c r="G329" t="s">
        <v>16</v>
      </c>
      <c r="H329" t="s">
        <v>15</v>
      </c>
      <c r="I329">
        <v>5.5</v>
      </c>
      <c r="J329" t="s">
        <v>13</v>
      </c>
    </row>
    <row r="330" spans="1:10" x14ac:dyDescent="0.25">
      <c r="A330" s="1">
        <v>337</v>
      </c>
      <c r="B330" s="2">
        <v>42489.488888888889</v>
      </c>
      <c r="C330" s="2" t="str">
        <f t="shared" si="7"/>
        <v>04</v>
      </c>
      <c r="D330" s="2">
        <v>42489.500694444447</v>
      </c>
      <c r="E330" s="2" t="str">
        <f t="shared" si="7"/>
        <v>04</v>
      </c>
      <c r="F330" t="s">
        <v>7</v>
      </c>
      <c r="G330" t="s">
        <v>15</v>
      </c>
      <c r="H330" t="s">
        <v>36</v>
      </c>
      <c r="I330">
        <v>9.9</v>
      </c>
      <c r="J330" t="s">
        <v>11</v>
      </c>
    </row>
    <row r="331" spans="1:10" x14ac:dyDescent="0.25">
      <c r="A331" s="1">
        <v>338</v>
      </c>
      <c r="B331" s="2">
        <v>42489.550694444442</v>
      </c>
      <c r="C331" s="2" t="str">
        <f t="shared" si="7"/>
        <v>04</v>
      </c>
      <c r="D331" s="2">
        <v>42489.56527777778</v>
      </c>
      <c r="E331" s="2" t="str">
        <f t="shared" si="7"/>
        <v>04</v>
      </c>
      <c r="F331" t="s">
        <v>7</v>
      </c>
      <c r="G331" t="s">
        <v>36</v>
      </c>
      <c r="H331" t="s">
        <v>15</v>
      </c>
      <c r="I331">
        <v>10</v>
      </c>
      <c r="J331" t="s">
        <v>11</v>
      </c>
    </row>
    <row r="332" spans="1:10" x14ac:dyDescent="0.25">
      <c r="A332" s="1">
        <v>339</v>
      </c>
      <c r="B332" s="2">
        <v>42489.781944444447</v>
      </c>
      <c r="C332" s="2" t="str">
        <f t="shared" si="7"/>
        <v>04</v>
      </c>
      <c r="D332" s="2">
        <v>42489.804166666669</v>
      </c>
      <c r="E332" s="2" t="str">
        <f t="shared" si="7"/>
        <v>04</v>
      </c>
      <c r="F332" t="s">
        <v>7</v>
      </c>
      <c r="G332" t="s">
        <v>15</v>
      </c>
      <c r="H332" t="s">
        <v>36</v>
      </c>
      <c r="I332">
        <v>14.2</v>
      </c>
      <c r="J332" t="s">
        <v>13</v>
      </c>
    </row>
    <row r="333" spans="1:10" x14ac:dyDescent="0.25">
      <c r="A333" s="1">
        <v>340</v>
      </c>
      <c r="B333" s="2">
        <v>42489.947222222218</v>
      </c>
      <c r="C333" s="2" t="str">
        <f t="shared" si="7"/>
        <v>04</v>
      </c>
      <c r="D333" s="2">
        <v>42489.97152777778</v>
      </c>
      <c r="E333" s="2" t="str">
        <f t="shared" si="7"/>
        <v>04</v>
      </c>
      <c r="F333" t="s">
        <v>7</v>
      </c>
      <c r="G333" t="s">
        <v>36</v>
      </c>
      <c r="H333" t="s">
        <v>15</v>
      </c>
      <c r="I333">
        <v>18.2</v>
      </c>
      <c r="J333" t="s">
        <v>11</v>
      </c>
    </row>
    <row r="334" spans="1:10" x14ac:dyDescent="0.25">
      <c r="A334" s="1">
        <v>341</v>
      </c>
      <c r="B334" s="2">
        <v>42490.779166666667</v>
      </c>
      <c r="C334" s="2" t="str">
        <f t="shared" si="7"/>
        <v>04</v>
      </c>
      <c r="D334" s="2">
        <v>42490.789583333331</v>
      </c>
      <c r="E334" s="2" t="str">
        <f t="shared" si="7"/>
        <v>04</v>
      </c>
      <c r="F334" t="s">
        <v>7</v>
      </c>
      <c r="G334" t="s">
        <v>38</v>
      </c>
      <c r="H334" t="s">
        <v>72</v>
      </c>
      <c r="I334">
        <v>7.7</v>
      </c>
      <c r="J334" t="s">
        <v>9</v>
      </c>
    </row>
    <row r="335" spans="1:10" x14ac:dyDescent="0.25">
      <c r="A335" s="1">
        <v>342</v>
      </c>
      <c r="B335" s="2">
        <v>42490.927777777782</v>
      </c>
      <c r="C335" s="2" t="str">
        <f t="shared" si="7"/>
        <v>04</v>
      </c>
      <c r="D335" s="2">
        <v>42490.94027777778</v>
      </c>
      <c r="E335" s="2" t="str">
        <f t="shared" si="7"/>
        <v>04</v>
      </c>
      <c r="F335" t="s">
        <v>7</v>
      </c>
      <c r="G335" t="s">
        <v>72</v>
      </c>
      <c r="H335" t="s">
        <v>38</v>
      </c>
      <c r="I335">
        <v>6.8</v>
      </c>
    </row>
    <row r="336" spans="1:10" x14ac:dyDescent="0.25">
      <c r="A336" s="1">
        <v>343</v>
      </c>
      <c r="B336" s="2">
        <v>42491.572916666657</v>
      </c>
      <c r="C336" s="2" t="str">
        <f t="shared" si="7"/>
        <v>05</v>
      </c>
      <c r="D336" s="2">
        <v>42491.578472222223</v>
      </c>
      <c r="E336" s="2" t="str">
        <f t="shared" si="7"/>
        <v>05</v>
      </c>
      <c r="F336" t="s">
        <v>7</v>
      </c>
      <c r="G336" t="s">
        <v>38</v>
      </c>
      <c r="H336" t="s">
        <v>44</v>
      </c>
      <c r="I336">
        <v>2.1</v>
      </c>
      <c r="J336" t="s">
        <v>9</v>
      </c>
    </row>
    <row r="337" spans="1:10" x14ac:dyDescent="0.25">
      <c r="A337" s="1">
        <v>344</v>
      </c>
      <c r="B337" s="2">
        <v>42491.601388888892</v>
      </c>
      <c r="C337" s="2" t="str">
        <f t="shared" si="7"/>
        <v>05</v>
      </c>
      <c r="D337" s="2">
        <v>42491.604861111111</v>
      </c>
      <c r="E337" s="2" t="str">
        <f t="shared" si="7"/>
        <v>05</v>
      </c>
      <c r="F337" t="s">
        <v>7</v>
      </c>
      <c r="G337" t="s">
        <v>44</v>
      </c>
      <c r="H337" t="s">
        <v>38</v>
      </c>
      <c r="I337">
        <v>2.2999999999999998</v>
      </c>
    </row>
    <row r="338" spans="1:10" x14ac:dyDescent="0.25">
      <c r="A338" s="1">
        <v>345</v>
      </c>
      <c r="B338" s="2">
        <v>42491.731249999997</v>
      </c>
      <c r="C338" s="2" t="str">
        <f t="shared" si="7"/>
        <v>05</v>
      </c>
      <c r="D338" s="2">
        <v>42491.739583333343</v>
      </c>
      <c r="E338" s="2" t="str">
        <f t="shared" si="7"/>
        <v>05</v>
      </c>
      <c r="F338" t="s">
        <v>7</v>
      </c>
      <c r="G338" t="s">
        <v>38</v>
      </c>
      <c r="H338" t="s">
        <v>56</v>
      </c>
      <c r="I338">
        <v>6.2</v>
      </c>
      <c r="J338" t="s">
        <v>53</v>
      </c>
    </row>
    <row r="339" spans="1:10" x14ac:dyDescent="0.25">
      <c r="A339" s="1">
        <v>346</v>
      </c>
      <c r="B339" s="2">
        <v>42491.745833333327</v>
      </c>
      <c r="C339" s="2" t="str">
        <f t="shared" si="7"/>
        <v>05</v>
      </c>
      <c r="D339" s="2">
        <v>42491.756944444453</v>
      </c>
      <c r="E339" s="2" t="str">
        <f t="shared" si="7"/>
        <v>05</v>
      </c>
      <c r="F339" t="s">
        <v>7</v>
      </c>
      <c r="G339" t="s">
        <v>56</v>
      </c>
      <c r="H339" t="s">
        <v>116</v>
      </c>
      <c r="I339">
        <v>7.5</v>
      </c>
      <c r="J339" t="s">
        <v>11</v>
      </c>
    </row>
    <row r="340" spans="1:10" x14ac:dyDescent="0.25">
      <c r="A340" s="1">
        <v>347</v>
      </c>
      <c r="B340" s="2">
        <v>42491.943055555559</v>
      </c>
      <c r="C340" s="2" t="str">
        <f t="shared" si="7"/>
        <v>05</v>
      </c>
      <c r="D340" s="2">
        <v>42491.950694444437</v>
      </c>
      <c r="E340" s="2" t="str">
        <f t="shared" si="7"/>
        <v>05</v>
      </c>
      <c r="F340" t="s">
        <v>7</v>
      </c>
      <c r="G340" t="s">
        <v>116</v>
      </c>
      <c r="H340" t="s">
        <v>38</v>
      </c>
      <c r="I340">
        <v>3.1</v>
      </c>
      <c r="J340" t="s">
        <v>10</v>
      </c>
    </row>
    <row r="341" spans="1:10" x14ac:dyDescent="0.25">
      <c r="A341" s="1">
        <v>348</v>
      </c>
      <c r="B341" s="2">
        <v>42492.593055555553</v>
      </c>
      <c r="C341" s="2" t="str">
        <f t="shared" si="7"/>
        <v>05</v>
      </c>
      <c r="D341" s="2">
        <v>42492.597916666673</v>
      </c>
      <c r="E341" s="2" t="str">
        <f t="shared" si="7"/>
        <v>05</v>
      </c>
      <c r="F341" t="s">
        <v>7</v>
      </c>
      <c r="G341" t="s">
        <v>38</v>
      </c>
      <c r="H341" t="s">
        <v>44</v>
      </c>
      <c r="I341">
        <v>2.2000000000000002</v>
      </c>
      <c r="J341" t="s">
        <v>10</v>
      </c>
    </row>
    <row r="342" spans="1:10" x14ac:dyDescent="0.25">
      <c r="A342" s="1">
        <v>349</v>
      </c>
      <c r="B342" s="2">
        <v>42492.650694444441</v>
      </c>
      <c r="C342" s="2" t="str">
        <f t="shared" si="7"/>
        <v>05</v>
      </c>
      <c r="D342" s="2">
        <v>42492.658333333333</v>
      </c>
      <c r="E342" s="2" t="str">
        <f t="shared" si="7"/>
        <v>05</v>
      </c>
      <c r="F342" t="s">
        <v>7</v>
      </c>
      <c r="G342" t="s">
        <v>44</v>
      </c>
      <c r="H342" t="s">
        <v>38</v>
      </c>
      <c r="I342">
        <v>3.9</v>
      </c>
      <c r="J342" t="s">
        <v>9</v>
      </c>
    </row>
    <row r="343" spans="1:10" x14ac:dyDescent="0.25">
      <c r="A343" s="1">
        <v>350</v>
      </c>
      <c r="B343" s="2">
        <v>42493.930555555547</v>
      </c>
      <c r="C343" s="2" t="str">
        <f t="shared" si="7"/>
        <v>05</v>
      </c>
      <c r="D343" s="2">
        <v>42493.936111111107</v>
      </c>
      <c r="E343" s="2" t="str">
        <f t="shared" si="7"/>
        <v>05</v>
      </c>
      <c r="F343" t="s">
        <v>7</v>
      </c>
      <c r="G343" t="s">
        <v>16</v>
      </c>
      <c r="H343" t="s">
        <v>15</v>
      </c>
      <c r="I343">
        <v>2.5</v>
      </c>
      <c r="J343" t="s">
        <v>9</v>
      </c>
    </row>
    <row r="344" spans="1:10" x14ac:dyDescent="0.25">
      <c r="A344" s="1">
        <v>351</v>
      </c>
      <c r="B344" s="2">
        <v>42494.636111111111</v>
      </c>
      <c r="C344" s="2" t="str">
        <f t="shared" si="7"/>
        <v>05</v>
      </c>
      <c r="D344" s="2">
        <v>42494.650694444441</v>
      </c>
      <c r="E344" s="2" t="str">
        <f t="shared" si="7"/>
        <v>05</v>
      </c>
      <c r="F344" t="s">
        <v>7</v>
      </c>
      <c r="G344" t="s">
        <v>15</v>
      </c>
      <c r="H344" t="s">
        <v>16</v>
      </c>
      <c r="I344">
        <v>8.6999999999999993</v>
      </c>
      <c r="J344" t="s">
        <v>9</v>
      </c>
    </row>
    <row r="345" spans="1:10" x14ac:dyDescent="0.25">
      <c r="A345" s="1">
        <v>352</v>
      </c>
      <c r="B345" s="2">
        <v>42494.871527777781</v>
      </c>
      <c r="C345" s="2" t="str">
        <f t="shared" si="7"/>
        <v>05</v>
      </c>
      <c r="D345" s="2">
        <v>42494.884722222218</v>
      </c>
      <c r="E345" s="2" t="str">
        <f t="shared" si="7"/>
        <v>05</v>
      </c>
      <c r="F345" t="s">
        <v>7</v>
      </c>
      <c r="G345" t="s">
        <v>117</v>
      </c>
      <c r="H345" t="s">
        <v>118</v>
      </c>
      <c r="I345">
        <v>14.5</v>
      </c>
      <c r="J345" t="s">
        <v>10</v>
      </c>
    </row>
    <row r="346" spans="1:10" x14ac:dyDescent="0.25">
      <c r="A346" s="1">
        <v>353</v>
      </c>
      <c r="B346" s="2">
        <v>42494.895833333343</v>
      </c>
      <c r="C346" s="2" t="str">
        <f t="shared" si="7"/>
        <v>05</v>
      </c>
      <c r="D346" s="2">
        <v>42494.9</v>
      </c>
      <c r="E346" s="2" t="str">
        <f t="shared" si="7"/>
        <v>05</v>
      </c>
      <c r="F346" t="s">
        <v>7</v>
      </c>
      <c r="G346" t="s">
        <v>118</v>
      </c>
      <c r="H346" t="s">
        <v>119</v>
      </c>
      <c r="I346">
        <v>4.5</v>
      </c>
      <c r="J346" t="s">
        <v>9</v>
      </c>
    </row>
    <row r="347" spans="1:10" x14ac:dyDescent="0.25">
      <c r="A347" s="1">
        <v>354</v>
      </c>
      <c r="B347" s="2">
        <v>42494.929861111108</v>
      </c>
      <c r="C347" s="2" t="str">
        <f t="shared" si="7"/>
        <v>05</v>
      </c>
      <c r="D347" s="2">
        <v>42494.935416666667</v>
      </c>
      <c r="E347" s="2" t="str">
        <f t="shared" si="7"/>
        <v>05</v>
      </c>
      <c r="F347" t="s">
        <v>7</v>
      </c>
      <c r="G347" t="s">
        <v>119</v>
      </c>
      <c r="H347" t="s">
        <v>118</v>
      </c>
      <c r="I347">
        <v>5</v>
      </c>
      <c r="J347" t="s">
        <v>9</v>
      </c>
    </row>
    <row r="348" spans="1:10" x14ac:dyDescent="0.25">
      <c r="A348" s="1">
        <v>355</v>
      </c>
      <c r="B348" s="2">
        <v>42495.89166666667</v>
      </c>
      <c r="C348" s="2" t="str">
        <f t="shared" si="7"/>
        <v>05</v>
      </c>
      <c r="D348" s="2">
        <v>42495.9</v>
      </c>
      <c r="E348" s="2" t="str">
        <f t="shared" si="7"/>
        <v>05</v>
      </c>
      <c r="F348" t="s">
        <v>7</v>
      </c>
      <c r="G348" t="s">
        <v>120</v>
      </c>
      <c r="H348" t="s">
        <v>121</v>
      </c>
      <c r="I348">
        <v>14.2</v>
      </c>
      <c r="J348" t="s">
        <v>9</v>
      </c>
    </row>
    <row r="349" spans="1:10" x14ac:dyDescent="0.25">
      <c r="A349" s="1">
        <v>356</v>
      </c>
      <c r="B349" s="2">
        <v>42495.94027777778</v>
      </c>
      <c r="C349" s="2" t="str">
        <f t="shared" si="7"/>
        <v>05</v>
      </c>
      <c r="D349" s="2">
        <v>42495.944444444453</v>
      </c>
      <c r="E349" s="2" t="str">
        <f t="shared" si="7"/>
        <v>05</v>
      </c>
      <c r="F349" t="s">
        <v>7</v>
      </c>
      <c r="G349" t="s">
        <v>121</v>
      </c>
      <c r="H349" t="s">
        <v>122</v>
      </c>
      <c r="I349">
        <v>2.9</v>
      </c>
      <c r="J349" t="s">
        <v>10</v>
      </c>
    </row>
    <row r="350" spans="1:10" x14ac:dyDescent="0.25">
      <c r="A350" s="1">
        <v>357</v>
      </c>
      <c r="B350" s="2">
        <v>42495.996527777781</v>
      </c>
      <c r="C350" s="2" t="str">
        <f t="shared" si="7"/>
        <v>05</v>
      </c>
      <c r="D350" s="2">
        <v>42496.005555555559</v>
      </c>
      <c r="E350" s="2" t="str">
        <f t="shared" si="7"/>
        <v>05</v>
      </c>
      <c r="F350" t="s">
        <v>7</v>
      </c>
      <c r="G350" t="s">
        <v>122</v>
      </c>
      <c r="H350" t="s">
        <v>120</v>
      </c>
      <c r="I350">
        <v>12.9</v>
      </c>
      <c r="J350" t="s">
        <v>11</v>
      </c>
    </row>
    <row r="351" spans="1:10" x14ac:dyDescent="0.25">
      <c r="A351" s="1">
        <v>358</v>
      </c>
      <c r="B351" s="2">
        <v>42496.240972222222</v>
      </c>
      <c r="C351" s="2" t="str">
        <f t="shared" si="7"/>
        <v>05</v>
      </c>
      <c r="D351" s="2">
        <v>42496.251388888893</v>
      </c>
      <c r="E351" s="2" t="str">
        <f t="shared" si="7"/>
        <v>05</v>
      </c>
      <c r="F351" t="s">
        <v>7</v>
      </c>
      <c r="G351" t="s">
        <v>118</v>
      </c>
      <c r="H351" t="s">
        <v>117</v>
      </c>
      <c r="I351">
        <v>14.4</v>
      </c>
      <c r="J351" t="s">
        <v>11</v>
      </c>
    </row>
    <row r="352" spans="1:10" x14ac:dyDescent="0.25">
      <c r="A352" s="1">
        <v>359</v>
      </c>
      <c r="B352" s="2">
        <v>42496.697916666657</v>
      </c>
      <c r="C352" s="2" t="str">
        <f t="shared" si="7"/>
        <v>05</v>
      </c>
      <c r="D352" s="2">
        <v>42496.707638888889</v>
      </c>
      <c r="E352" s="2" t="str">
        <f t="shared" si="7"/>
        <v>05</v>
      </c>
      <c r="F352" t="s">
        <v>7</v>
      </c>
      <c r="G352" t="s">
        <v>49</v>
      </c>
      <c r="H352" t="s">
        <v>16</v>
      </c>
      <c r="I352">
        <v>17</v>
      </c>
      <c r="J352" t="s">
        <v>11</v>
      </c>
    </row>
    <row r="353" spans="1:10" x14ac:dyDescent="0.25">
      <c r="A353" s="1">
        <v>360</v>
      </c>
      <c r="B353" s="2">
        <v>42496.720833333333</v>
      </c>
      <c r="C353" s="2" t="str">
        <f t="shared" si="7"/>
        <v>05</v>
      </c>
      <c r="D353" s="2">
        <v>42496.738888888889</v>
      </c>
      <c r="E353" s="2" t="str">
        <f t="shared" si="7"/>
        <v>05</v>
      </c>
      <c r="F353" t="s">
        <v>7</v>
      </c>
      <c r="G353" t="s">
        <v>16</v>
      </c>
      <c r="H353" t="s">
        <v>15</v>
      </c>
      <c r="I353">
        <v>7.9</v>
      </c>
      <c r="J353" t="s">
        <v>13</v>
      </c>
    </row>
    <row r="354" spans="1:10" x14ac:dyDescent="0.25">
      <c r="A354" s="1">
        <v>361</v>
      </c>
      <c r="B354" s="2">
        <v>42499.255555555559</v>
      </c>
      <c r="C354" s="2" t="str">
        <f t="shared" si="7"/>
        <v>05</v>
      </c>
      <c r="D354" s="2">
        <v>42499.267361111109</v>
      </c>
      <c r="E354" s="2" t="str">
        <f t="shared" si="7"/>
        <v>05</v>
      </c>
      <c r="F354" t="s">
        <v>7</v>
      </c>
      <c r="G354" t="s">
        <v>15</v>
      </c>
      <c r="H354" t="s">
        <v>16</v>
      </c>
      <c r="I354">
        <v>8.4</v>
      </c>
      <c r="J354" t="s">
        <v>13</v>
      </c>
    </row>
    <row r="355" spans="1:10" x14ac:dyDescent="0.25">
      <c r="A355" s="1">
        <v>362</v>
      </c>
      <c r="B355" s="2">
        <v>42499.61041666667</v>
      </c>
      <c r="C355" s="2" t="str">
        <f t="shared" si="7"/>
        <v>05</v>
      </c>
      <c r="D355" s="2">
        <v>42499.629166666673</v>
      </c>
      <c r="E355" s="2" t="str">
        <f t="shared" si="7"/>
        <v>05</v>
      </c>
      <c r="F355" t="s">
        <v>7</v>
      </c>
      <c r="G355" t="s">
        <v>123</v>
      </c>
      <c r="H355" t="s">
        <v>124</v>
      </c>
      <c r="I355">
        <v>20.5</v>
      </c>
      <c r="J355" t="s">
        <v>53</v>
      </c>
    </row>
    <row r="356" spans="1:10" x14ac:dyDescent="0.25">
      <c r="A356" s="1">
        <v>363</v>
      </c>
      <c r="B356" s="2">
        <v>42499.748611111107</v>
      </c>
      <c r="C356" s="2" t="str">
        <f t="shared" si="7"/>
        <v>05</v>
      </c>
      <c r="D356" s="2">
        <v>42499.768055555563</v>
      </c>
      <c r="E356" s="2" t="str">
        <f t="shared" si="7"/>
        <v>05</v>
      </c>
      <c r="F356" t="s">
        <v>7</v>
      </c>
      <c r="G356" t="s">
        <v>124</v>
      </c>
      <c r="H356" t="s">
        <v>125</v>
      </c>
      <c r="I356">
        <v>9.8000000000000007</v>
      </c>
      <c r="J356" t="s">
        <v>13</v>
      </c>
    </row>
    <row r="357" spans="1:10" x14ac:dyDescent="0.25">
      <c r="A357" s="1">
        <v>364</v>
      </c>
      <c r="B357" s="2">
        <v>42499.815972222219</v>
      </c>
      <c r="C357" s="2" t="str">
        <f t="shared" si="7"/>
        <v>05</v>
      </c>
      <c r="D357" s="2">
        <v>42499.832638888889</v>
      </c>
      <c r="E357" s="2" t="str">
        <f t="shared" si="7"/>
        <v>05</v>
      </c>
      <c r="F357" t="s">
        <v>7</v>
      </c>
      <c r="G357" t="s">
        <v>125</v>
      </c>
      <c r="H357" t="s">
        <v>126</v>
      </c>
      <c r="I357">
        <v>17.600000000000001</v>
      </c>
      <c r="J357" t="s">
        <v>13</v>
      </c>
    </row>
    <row r="358" spans="1:10" x14ac:dyDescent="0.25">
      <c r="A358" s="1">
        <v>365</v>
      </c>
      <c r="B358" s="2">
        <v>42500.377083333333</v>
      </c>
      <c r="C358" s="2" t="str">
        <f t="shared" si="7"/>
        <v>05</v>
      </c>
      <c r="D358" s="2">
        <v>42500.388888888891</v>
      </c>
      <c r="E358" s="2" t="str">
        <f t="shared" si="7"/>
        <v>05</v>
      </c>
      <c r="F358" t="s">
        <v>7</v>
      </c>
      <c r="G358" t="s">
        <v>126</v>
      </c>
      <c r="H358" t="s">
        <v>127</v>
      </c>
      <c r="I358">
        <v>9.3000000000000007</v>
      </c>
      <c r="J358" t="s">
        <v>13</v>
      </c>
    </row>
    <row r="359" spans="1:10" x14ac:dyDescent="0.25">
      <c r="A359" s="1">
        <v>366</v>
      </c>
      <c r="B359" s="2">
        <v>42500.72152777778</v>
      </c>
      <c r="C359" s="2" t="str">
        <f t="shared" si="7"/>
        <v>05</v>
      </c>
      <c r="D359" s="2">
        <v>42500.729861111111</v>
      </c>
      <c r="E359" s="2" t="str">
        <f t="shared" si="7"/>
        <v>05</v>
      </c>
      <c r="F359" t="s">
        <v>7</v>
      </c>
      <c r="G359" t="s">
        <v>127</v>
      </c>
      <c r="H359" t="s">
        <v>126</v>
      </c>
      <c r="I359">
        <v>7.9</v>
      </c>
      <c r="J359" t="s">
        <v>13</v>
      </c>
    </row>
    <row r="360" spans="1:10" x14ac:dyDescent="0.25">
      <c r="A360" s="1">
        <v>367</v>
      </c>
      <c r="B360" s="2">
        <v>42501.357638888891</v>
      </c>
      <c r="C360" s="2" t="str">
        <f t="shared" si="7"/>
        <v>05</v>
      </c>
      <c r="D360" s="2">
        <v>42501.383333333331</v>
      </c>
      <c r="E360" s="2" t="str">
        <f t="shared" si="7"/>
        <v>05</v>
      </c>
      <c r="F360" t="s">
        <v>7</v>
      </c>
      <c r="G360" t="s">
        <v>126</v>
      </c>
      <c r="H360" t="s">
        <v>123</v>
      </c>
      <c r="I360">
        <v>25.6</v>
      </c>
      <c r="J360" t="s">
        <v>11</v>
      </c>
    </row>
    <row r="361" spans="1:10" x14ac:dyDescent="0.25">
      <c r="A361" s="1">
        <v>368</v>
      </c>
      <c r="B361" s="2">
        <v>42501.907638888893</v>
      </c>
      <c r="C361" s="2" t="str">
        <f t="shared" si="7"/>
        <v>05</v>
      </c>
      <c r="D361" s="2">
        <v>42501.919444444437</v>
      </c>
      <c r="E361" s="2" t="str">
        <f t="shared" si="7"/>
        <v>05</v>
      </c>
      <c r="F361" t="s">
        <v>7</v>
      </c>
      <c r="G361" t="s">
        <v>16</v>
      </c>
      <c r="H361" t="s">
        <v>15</v>
      </c>
      <c r="I361">
        <v>8.1</v>
      </c>
      <c r="J361" t="s">
        <v>11</v>
      </c>
    </row>
    <row r="362" spans="1:10" x14ac:dyDescent="0.25">
      <c r="A362" s="1">
        <v>369</v>
      </c>
      <c r="B362" s="2">
        <v>42504.774305555547</v>
      </c>
      <c r="C362" s="2" t="str">
        <f t="shared" si="7"/>
        <v>05</v>
      </c>
      <c r="D362" s="2">
        <v>42504.777083333327</v>
      </c>
      <c r="E362" s="2" t="str">
        <f t="shared" si="7"/>
        <v>05</v>
      </c>
      <c r="F362" t="s">
        <v>7</v>
      </c>
      <c r="G362" t="s">
        <v>15</v>
      </c>
      <c r="H362" t="s">
        <v>16</v>
      </c>
      <c r="I362">
        <v>3.1</v>
      </c>
      <c r="J362" t="s">
        <v>9</v>
      </c>
    </row>
    <row r="363" spans="1:10" x14ac:dyDescent="0.25">
      <c r="A363" s="1">
        <v>370</v>
      </c>
      <c r="B363" s="2">
        <v>42504.959027777782</v>
      </c>
      <c r="C363" s="2" t="str">
        <f t="shared" si="7"/>
        <v>05</v>
      </c>
      <c r="D363" s="2">
        <v>42504.961805555547</v>
      </c>
      <c r="E363" s="2" t="str">
        <f t="shared" si="7"/>
        <v>05</v>
      </c>
      <c r="F363" t="s">
        <v>7</v>
      </c>
      <c r="G363" t="s">
        <v>16</v>
      </c>
      <c r="H363" t="s">
        <v>15</v>
      </c>
      <c r="I363">
        <v>3.1</v>
      </c>
      <c r="J363" t="s">
        <v>9</v>
      </c>
    </row>
    <row r="364" spans="1:10" x14ac:dyDescent="0.25">
      <c r="A364" s="1">
        <v>371</v>
      </c>
      <c r="B364" s="2">
        <v>42507.552083333343</v>
      </c>
      <c r="C364" s="2" t="str">
        <f t="shared" si="7"/>
        <v>05</v>
      </c>
      <c r="D364" s="2">
        <v>42507.557638888888</v>
      </c>
      <c r="E364" s="2" t="str">
        <f t="shared" si="7"/>
        <v>05</v>
      </c>
      <c r="F364" t="s">
        <v>7</v>
      </c>
      <c r="G364" t="s">
        <v>38</v>
      </c>
      <c r="H364" t="s">
        <v>57</v>
      </c>
      <c r="I364">
        <v>2.8</v>
      </c>
      <c r="J364" t="s">
        <v>10</v>
      </c>
    </row>
    <row r="365" spans="1:10" x14ac:dyDescent="0.25">
      <c r="A365" s="1">
        <v>372</v>
      </c>
      <c r="B365" s="2">
        <v>42507.580555555563</v>
      </c>
      <c r="C365" s="2" t="str">
        <f t="shared" si="7"/>
        <v>05</v>
      </c>
      <c r="D365" s="2">
        <v>42507.588888888888</v>
      </c>
      <c r="E365" s="2" t="str">
        <f t="shared" si="7"/>
        <v>05</v>
      </c>
      <c r="F365" t="s">
        <v>7</v>
      </c>
      <c r="G365" t="s">
        <v>57</v>
      </c>
      <c r="H365" t="s">
        <v>44</v>
      </c>
      <c r="I365">
        <v>2.7</v>
      </c>
      <c r="J365" t="s">
        <v>10</v>
      </c>
    </row>
    <row r="366" spans="1:10" x14ac:dyDescent="0.25">
      <c r="A366" s="1">
        <v>373</v>
      </c>
      <c r="B366" s="2">
        <v>42507.606944444437</v>
      </c>
      <c r="C366" s="2" t="str">
        <f t="shared" si="7"/>
        <v>05</v>
      </c>
      <c r="D366" s="2">
        <v>42507.611111111109</v>
      </c>
      <c r="E366" s="2" t="str">
        <f t="shared" si="7"/>
        <v>05</v>
      </c>
      <c r="F366" t="s">
        <v>7</v>
      </c>
      <c r="G366" t="s">
        <v>44</v>
      </c>
      <c r="H366" t="s">
        <v>38</v>
      </c>
      <c r="I366">
        <v>1.9</v>
      </c>
      <c r="J366" t="s">
        <v>10</v>
      </c>
    </row>
    <row r="367" spans="1:10" x14ac:dyDescent="0.25">
      <c r="A367" s="1">
        <v>374</v>
      </c>
      <c r="B367" s="2">
        <v>42508.382638888892</v>
      </c>
      <c r="C367" s="2" t="str">
        <f t="shared" si="7"/>
        <v>05</v>
      </c>
      <c r="D367" s="2">
        <v>42508.40347222222</v>
      </c>
      <c r="E367" s="2" t="str">
        <f t="shared" si="7"/>
        <v>05</v>
      </c>
      <c r="F367" t="s">
        <v>7</v>
      </c>
      <c r="G367" t="s">
        <v>15</v>
      </c>
      <c r="H367" t="s">
        <v>16</v>
      </c>
      <c r="I367">
        <v>8.4</v>
      </c>
      <c r="J367" t="s">
        <v>13</v>
      </c>
    </row>
    <row r="368" spans="1:10" x14ac:dyDescent="0.25">
      <c r="A368" s="1">
        <v>375</v>
      </c>
      <c r="B368" s="2">
        <v>42508.541666666657</v>
      </c>
      <c r="C368" s="2" t="str">
        <f t="shared" si="7"/>
        <v>05</v>
      </c>
      <c r="D368" s="2">
        <v>42508.543055555558</v>
      </c>
      <c r="E368" s="2" t="str">
        <f t="shared" si="7"/>
        <v>05</v>
      </c>
      <c r="F368" t="s">
        <v>7</v>
      </c>
      <c r="G368" t="s">
        <v>16</v>
      </c>
      <c r="H368" t="s">
        <v>40</v>
      </c>
      <c r="I368">
        <v>7.6</v>
      </c>
      <c r="J368" t="s">
        <v>13</v>
      </c>
    </row>
    <row r="369" spans="1:10" x14ac:dyDescent="0.25">
      <c r="A369" s="1">
        <v>376</v>
      </c>
      <c r="B369" s="2">
        <v>42509.609027777777</v>
      </c>
      <c r="C369" s="2" t="str">
        <f t="shared" si="7"/>
        <v>05</v>
      </c>
      <c r="D369" s="2">
        <v>42509.625694444447</v>
      </c>
      <c r="E369" s="2" t="str">
        <f t="shared" si="7"/>
        <v>05</v>
      </c>
      <c r="F369" t="s">
        <v>7</v>
      </c>
      <c r="G369" t="s">
        <v>128</v>
      </c>
      <c r="H369" t="s">
        <v>129</v>
      </c>
      <c r="I369">
        <v>2.9</v>
      </c>
      <c r="J369" t="s">
        <v>9</v>
      </c>
    </row>
    <row r="370" spans="1:10" x14ac:dyDescent="0.25">
      <c r="A370" s="1">
        <v>377</v>
      </c>
      <c r="B370" s="2">
        <v>42510.455555555563</v>
      </c>
      <c r="C370" s="2" t="str">
        <f t="shared" si="7"/>
        <v>05</v>
      </c>
      <c r="D370" s="2">
        <v>42510.463194444441</v>
      </c>
      <c r="E370" s="2" t="str">
        <f t="shared" si="7"/>
        <v>05</v>
      </c>
      <c r="F370" t="s">
        <v>7</v>
      </c>
      <c r="G370" t="s">
        <v>128</v>
      </c>
      <c r="H370" t="s">
        <v>130</v>
      </c>
      <c r="I370">
        <v>11.2</v>
      </c>
      <c r="J370" t="s">
        <v>11</v>
      </c>
    </row>
    <row r="371" spans="1:10" x14ac:dyDescent="0.25">
      <c r="A371" s="1">
        <v>378</v>
      </c>
      <c r="B371" s="2">
        <v>42510.654861111107</v>
      </c>
      <c r="C371" s="2" t="str">
        <f t="shared" si="7"/>
        <v>05</v>
      </c>
      <c r="D371" s="2">
        <v>42510.675000000003</v>
      </c>
      <c r="E371" s="2" t="str">
        <f t="shared" si="7"/>
        <v>05</v>
      </c>
      <c r="F371" t="s">
        <v>7</v>
      </c>
      <c r="G371" t="s">
        <v>16</v>
      </c>
      <c r="H371" t="s">
        <v>15</v>
      </c>
      <c r="I371">
        <v>8.1999999999999993</v>
      </c>
      <c r="J371" t="s">
        <v>9</v>
      </c>
    </row>
    <row r="372" spans="1:10" x14ac:dyDescent="0.25">
      <c r="A372" s="1">
        <v>379</v>
      </c>
      <c r="B372" s="2">
        <v>42512.652083333327</v>
      </c>
      <c r="C372" s="2" t="str">
        <f t="shared" si="7"/>
        <v>05</v>
      </c>
      <c r="D372" s="2">
        <v>42512.656944444447</v>
      </c>
      <c r="E372" s="2" t="str">
        <f t="shared" si="7"/>
        <v>05</v>
      </c>
      <c r="F372" t="s">
        <v>7</v>
      </c>
      <c r="G372" t="s">
        <v>15</v>
      </c>
      <c r="H372" t="s">
        <v>16</v>
      </c>
      <c r="I372">
        <v>3</v>
      </c>
      <c r="J372" t="s">
        <v>9</v>
      </c>
    </row>
    <row r="373" spans="1:10" x14ac:dyDescent="0.25">
      <c r="A373" s="1">
        <v>380</v>
      </c>
      <c r="B373" s="2">
        <v>42512.781944444447</v>
      </c>
      <c r="C373" s="2" t="str">
        <f t="shared" si="7"/>
        <v>05</v>
      </c>
      <c r="D373" s="2">
        <v>42512.786805555559</v>
      </c>
      <c r="E373" s="2" t="str">
        <f t="shared" si="7"/>
        <v>05</v>
      </c>
      <c r="F373" t="s">
        <v>7</v>
      </c>
      <c r="G373" t="s">
        <v>16</v>
      </c>
      <c r="H373" t="s">
        <v>15</v>
      </c>
      <c r="I373">
        <v>2.5</v>
      </c>
      <c r="J373" t="s">
        <v>9</v>
      </c>
    </row>
    <row r="374" spans="1:10" x14ac:dyDescent="0.25">
      <c r="A374" s="1">
        <v>381</v>
      </c>
      <c r="B374" s="2">
        <v>42513.84652777778</v>
      </c>
      <c r="C374" s="2" t="str">
        <f t="shared" si="7"/>
        <v>05</v>
      </c>
      <c r="D374" s="2">
        <v>42513.852083333331</v>
      </c>
      <c r="E374" s="2" t="str">
        <f t="shared" si="7"/>
        <v>05</v>
      </c>
      <c r="F374" t="s">
        <v>7</v>
      </c>
      <c r="G374" t="s">
        <v>38</v>
      </c>
      <c r="H374" t="s">
        <v>131</v>
      </c>
      <c r="I374">
        <v>3.6</v>
      </c>
      <c r="J374" t="s">
        <v>9</v>
      </c>
    </row>
    <row r="375" spans="1:10" x14ac:dyDescent="0.25">
      <c r="A375" s="1">
        <v>382</v>
      </c>
      <c r="B375" s="2">
        <v>42513.881249999999</v>
      </c>
      <c r="C375" s="2" t="str">
        <f t="shared" si="7"/>
        <v>05</v>
      </c>
      <c r="D375" s="2">
        <v>42513.88958333333</v>
      </c>
      <c r="E375" s="2" t="str">
        <f t="shared" si="7"/>
        <v>05</v>
      </c>
      <c r="F375" t="s">
        <v>7</v>
      </c>
      <c r="G375" t="s">
        <v>131</v>
      </c>
      <c r="H375" t="s">
        <v>38</v>
      </c>
      <c r="I375">
        <v>3.6</v>
      </c>
      <c r="J375" t="s">
        <v>10</v>
      </c>
    </row>
    <row r="376" spans="1:10" x14ac:dyDescent="0.25">
      <c r="A376" s="1">
        <v>383</v>
      </c>
      <c r="B376" s="2">
        <v>42517.851388888892</v>
      </c>
      <c r="C376" s="2" t="str">
        <f t="shared" si="7"/>
        <v>05</v>
      </c>
      <c r="D376" s="2">
        <v>42517.854166666657</v>
      </c>
      <c r="E376" s="2" t="str">
        <f t="shared" si="7"/>
        <v>05</v>
      </c>
      <c r="F376" t="s">
        <v>7</v>
      </c>
      <c r="G376" t="s">
        <v>38</v>
      </c>
      <c r="H376" t="s">
        <v>132</v>
      </c>
      <c r="I376">
        <v>4.5</v>
      </c>
      <c r="J376" t="s">
        <v>10</v>
      </c>
    </row>
    <row r="377" spans="1:10" x14ac:dyDescent="0.25">
      <c r="A377" s="1">
        <v>384</v>
      </c>
      <c r="B377" s="2">
        <v>42517.865972222222</v>
      </c>
      <c r="C377" s="2" t="str">
        <f t="shared" si="7"/>
        <v>05</v>
      </c>
      <c r="D377" s="2">
        <v>42517.870138888888</v>
      </c>
      <c r="E377" s="2" t="str">
        <f t="shared" si="7"/>
        <v>05</v>
      </c>
      <c r="F377" t="s">
        <v>7</v>
      </c>
      <c r="G377" t="s">
        <v>131</v>
      </c>
      <c r="H377" t="s">
        <v>133</v>
      </c>
      <c r="I377">
        <v>1.2</v>
      </c>
    </row>
    <row r="378" spans="1:10" x14ac:dyDescent="0.25">
      <c r="A378" s="1">
        <v>385</v>
      </c>
      <c r="B378" s="2">
        <v>42517.924305555563</v>
      </c>
      <c r="C378" s="2" t="str">
        <f t="shared" si="7"/>
        <v>05</v>
      </c>
      <c r="D378" s="2">
        <v>42517.926388888889</v>
      </c>
      <c r="E378" s="2" t="str">
        <f t="shared" si="7"/>
        <v>05</v>
      </c>
      <c r="F378" t="s">
        <v>7</v>
      </c>
      <c r="G378" t="s">
        <v>133</v>
      </c>
      <c r="H378" t="s">
        <v>132</v>
      </c>
      <c r="I378">
        <v>1.7</v>
      </c>
      <c r="J378" t="s">
        <v>10</v>
      </c>
    </row>
    <row r="379" spans="1:10" x14ac:dyDescent="0.25">
      <c r="A379" s="1">
        <v>386</v>
      </c>
      <c r="B379" s="2">
        <v>42518.010416666657</v>
      </c>
      <c r="C379" s="2" t="str">
        <f t="shared" si="7"/>
        <v>05</v>
      </c>
      <c r="D379" s="2">
        <v>42518.01458333333</v>
      </c>
      <c r="E379" s="2" t="str">
        <f t="shared" si="7"/>
        <v>05</v>
      </c>
      <c r="F379" t="s">
        <v>7</v>
      </c>
      <c r="G379" t="s">
        <v>133</v>
      </c>
      <c r="H379" t="s">
        <v>38</v>
      </c>
      <c r="I379">
        <v>4.7</v>
      </c>
      <c r="J379" t="s">
        <v>10</v>
      </c>
    </row>
    <row r="380" spans="1:10" x14ac:dyDescent="0.25">
      <c r="A380" s="1">
        <v>387</v>
      </c>
      <c r="B380" s="2">
        <v>42518.536111111112</v>
      </c>
      <c r="C380" s="2" t="str">
        <f t="shared" si="7"/>
        <v>05</v>
      </c>
      <c r="D380" s="2">
        <v>42518.54583333333</v>
      </c>
      <c r="E380" s="2" t="str">
        <f t="shared" si="7"/>
        <v>05</v>
      </c>
      <c r="F380" t="s">
        <v>7</v>
      </c>
      <c r="G380" t="s">
        <v>15</v>
      </c>
      <c r="H380" t="s">
        <v>16</v>
      </c>
      <c r="I380">
        <v>6.1</v>
      </c>
      <c r="J380" t="s">
        <v>9</v>
      </c>
    </row>
    <row r="381" spans="1:10" x14ac:dyDescent="0.25">
      <c r="A381" s="1">
        <v>388</v>
      </c>
      <c r="B381" s="2">
        <v>42518.607638888891</v>
      </c>
      <c r="C381" s="2" t="str">
        <f t="shared" si="7"/>
        <v>05</v>
      </c>
      <c r="D381" s="2">
        <v>42518.62777777778</v>
      </c>
      <c r="E381" s="2" t="str">
        <f t="shared" si="7"/>
        <v>05</v>
      </c>
      <c r="F381" t="s">
        <v>7</v>
      </c>
      <c r="G381" t="s">
        <v>16</v>
      </c>
      <c r="H381" t="s">
        <v>15</v>
      </c>
      <c r="I381">
        <v>11.3</v>
      </c>
      <c r="J381" t="s">
        <v>13</v>
      </c>
    </row>
    <row r="382" spans="1:10" x14ac:dyDescent="0.25">
      <c r="A382" s="1">
        <v>389</v>
      </c>
      <c r="B382" s="2">
        <v>42521.57916666667</v>
      </c>
      <c r="C382" s="2" t="str">
        <f t="shared" si="7"/>
        <v>05</v>
      </c>
      <c r="D382" s="2">
        <v>42521.611805555563</v>
      </c>
      <c r="E382" s="2" t="str">
        <f t="shared" si="7"/>
        <v>05</v>
      </c>
      <c r="F382" t="s">
        <v>7</v>
      </c>
      <c r="G382" t="s">
        <v>15</v>
      </c>
      <c r="H382" t="s">
        <v>40</v>
      </c>
      <c r="I382">
        <v>14.9</v>
      </c>
      <c r="J382" t="s">
        <v>11</v>
      </c>
    </row>
    <row r="383" spans="1:10" x14ac:dyDescent="0.25">
      <c r="A383" s="1">
        <v>390</v>
      </c>
      <c r="B383" s="2">
        <v>42521.668055555558</v>
      </c>
      <c r="C383" s="2" t="str">
        <f t="shared" si="7"/>
        <v>05</v>
      </c>
      <c r="D383" s="2">
        <v>42521.693749999999</v>
      </c>
      <c r="E383" s="2" t="str">
        <f t="shared" si="7"/>
        <v>05</v>
      </c>
      <c r="F383" t="s">
        <v>7</v>
      </c>
      <c r="G383" t="s">
        <v>40</v>
      </c>
      <c r="H383" t="s">
        <v>15</v>
      </c>
      <c r="I383">
        <v>14</v>
      </c>
      <c r="J383" t="s">
        <v>11</v>
      </c>
    </row>
    <row r="384" spans="1:10" x14ac:dyDescent="0.25">
      <c r="A384" s="1">
        <v>391</v>
      </c>
      <c r="B384" s="2">
        <v>42521.743055555547</v>
      </c>
      <c r="C384" s="2" t="str">
        <f t="shared" si="7"/>
        <v>05</v>
      </c>
      <c r="D384" s="2">
        <v>42521.749305555553</v>
      </c>
      <c r="E384" s="2" t="str">
        <f t="shared" si="7"/>
        <v>05</v>
      </c>
      <c r="F384" t="s">
        <v>7</v>
      </c>
      <c r="G384" t="s">
        <v>44</v>
      </c>
      <c r="H384" t="s">
        <v>38</v>
      </c>
      <c r="I384">
        <v>1.8</v>
      </c>
    </row>
    <row r="385" spans="1:10" x14ac:dyDescent="0.25">
      <c r="A385" s="1">
        <v>392</v>
      </c>
      <c r="B385" s="2">
        <v>42522.429861111108</v>
      </c>
      <c r="C385" s="2" t="str">
        <f t="shared" si="7"/>
        <v>06</v>
      </c>
      <c r="D385" s="2">
        <v>42522.449305555558</v>
      </c>
      <c r="E385" s="2" t="str">
        <f t="shared" si="7"/>
        <v>06</v>
      </c>
      <c r="F385" t="s">
        <v>7</v>
      </c>
      <c r="G385" t="s">
        <v>15</v>
      </c>
      <c r="H385" t="s">
        <v>16</v>
      </c>
      <c r="I385">
        <v>6.7</v>
      </c>
      <c r="J385" t="s">
        <v>13</v>
      </c>
    </row>
    <row r="386" spans="1:10" x14ac:dyDescent="0.25">
      <c r="A386" s="1">
        <v>393</v>
      </c>
      <c r="B386" s="2">
        <v>42522.548611111109</v>
      </c>
      <c r="C386" s="2" t="str">
        <f t="shared" si="7"/>
        <v>06</v>
      </c>
      <c r="D386" s="2">
        <v>42522.568749999999</v>
      </c>
      <c r="E386" s="2" t="str">
        <f t="shared" si="7"/>
        <v>06</v>
      </c>
      <c r="F386" t="s">
        <v>7</v>
      </c>
      <c r="G386" t="s">
        <v>16</v>
      </c>
      <c r="H386" t="s">
        <v>15</v>
      </c>
      <c r="I386">
        <v>9.6</v>
      </c>
      <c r="J386" t="s">
        <v>11</v>
      </c>
    </row>
    <row r="387" spans="1:10" x14ac:dyDescent="0.25">
      <c r="A387" s="1">
        <v>394</v>
      </c>
      <c r="B387" s="2">
        <v>42524.478472222218</v>
      </c>
      <c r="C387" s="2" t="str">
        <f t="shared" ref="C387:E450" si="8" xml:space="preserve"> TEXT(B387, "mm")</f>
        <v>06</v>
      </c>
      <c r="D387" s="2">
        <v>42524.492361111108</v>
      </c>
      <c r="E387" s="2" t="str">
        <f t="shared" si="8"/>
        <v>06</v>
      </c>
      <c r="F387" t="s">
        <v>7</v>
      </c>
      <c r="G387" t="s">
        <v>15</v>
      </c>
      <c r="H387" t="s">
        <v>36</v>
      </c>
      <c r="I387">
        <v>10.4</v>
      </c>
      <c r="J387" t="s">
        <v>11</v>
      </c>
    </row>
    <row r="388" spans="1:10" x14ac:dyDescent="0.25">
      <c r="A388" s="1">
        <v>395</v>
      </c>
      <c r="B388" s="2">
        <v>42524.547222222223</v>
      </c>
      <c r="C388" s="2" t="str">
        <f t="shared" si="8"/>
        <v>06</v>
      </c>
      <c r="D388" s="2">
        <v>42524.568055555559</v>
      </c>
      <c r="E388" s="2" t="str">
        <f t="shared" si="8"/>
        <v>06</v>
      </c>
      <c r="F388" t="s">
        <v>7</v>
      </c>
      <c r="G388" t="s">
        <v>36</v>
      </c>
      <c r="H388" t="s">
        <v>15</v>
      </c>
      <c r="I388">
        <v>9.9</v>
      </c>
      <c r="J388" t="s">
        <v>11</v>
      </c>
    </row>
    <row r="389" spans="1:10" x14ac:dyDescent="0.25">
      <c r="A389" s="1">
        <v>396</v>
      </c>
      <c r="B389" s="2">
        <v>42524.646527777782</v>
      </c>
      <c r="C389" s="2" t="str">
        <f t="shared" si="8"/>
        <v>06</v>
      </c>
      <c r="D389" s="2">
        <v>42524.662499999999</v>
      </c>
      <c r="E389" s="2" t="str">
        <f t="shared" si="8"/>
        <v>06</v>
      </c>
      <c r="F389" t="s">
        <v>7</v>
      </c>
      <c r="G389" t="s">
        <v>15</v>
      </c>
      <c r="H389" t="s">
        <v>16</v>
      </c>
      <c r="I389">
        <v>6</v>
      </c>
      <c r="J389" t="s">
        <v>9</v>
      </c>
    </row>
    <row r="390" spans="1:10" x14ac:dyDescent="0.25">
      <c r="A390" s="1">
        <v>397</v>
      </c>
      <c r="B390" s="2">
        <v>42524.759722222218</v>
      </c>
      <c r="C390" s="2" t="str">
        <f t="shared" si="8"/>
        <v>06</v>
      </c>
      <c r="D390" s="2">
        <v>42524.770138888889</v>
      </c>
      <c r="E390" s="2" t="str">
        <f t="shared" si="8"/>
        <v>06</v>
      </c>
      <c r="F390" t="s">
        <v>7</v>
      </c>
      <c r="G390" t="s">
        <v>134</v>
      </c>
      <c r="H390" t="s">
        <v>114</v>
      </c>
      <c r="I390">
        <v>3.3</v>
      </c>
      <c r="J390" t="s">
        <v>10</v>
      </c>
    </row>
    <row r="391" spans="1:10" x14ac:dyDescent="0.25">
      <c r="A391" s="1">
        <v>398</v>
      </c>
      <c r="B391" s="2">
        <v>42524.77847222222</v>
      </c>
      <c r="C391" s="2" t="str">
        <f t="shared" si="8"/>
        <v>06</v>
      </c>
      <c r="D391" s="2">
        <v>42524.786805555559</v>
      </c>
      <c r="E391" s="2" t="str">
        <f t="shared" si="8"/>
        <v>06</v>
      </c>
      <c r="F391" t="s">
        <v>7</v>
      </c>
      <c r="G391" t="s">
        <v>16</v>
      </c>
      <c r="H391" t="s">
        <v>15</v>
      </c>
      <c r="I391">
        <v>3.1</v>
      </c>
      <c r="J391" t="s">
        <v>10</v>
      </c>
    </row>
    <row r="392" spans="1:10" x14ac:dyDescent="0.25">
      <c r="A392" s="1">
        <v>399</v>
      </c>
      <c r="B392" s="2">
        <v>42524.816666666673</v>
      </c>
      <c r="C392" s="2" t="str">
        <f t="shared" si="8"/>
        <v>06</v>
      </c>
      <c r="D392" s="2">
        <v>42524.820833333331</v>
      </c>
      <c r="E392" s="2" t="str">
        <f t="shared" si="8"/>
        <v>06</v>
      </c>
      <c r="F392" t="s">
        <v>7</v>
      </c>
      <c r="G392" t="s">
        <v>135</v>
      </c>
      <c r="H392" t="s">
        <v>75</v>
      </c>
      <c r="I392">
        <v>1.7</v>
      </c>
      <c r="J392" t="s">
        <v>10</v>
      </c>
    </row>
    <row r="393" spans="1:10" x14ac:dyDescent="0.25">
      <c r="A393" s="1">
        <v>400</v>
      </c>
      <c r="B393" s="2">
        <v>42524.949305555558</v>
      </c>
      <c r="C393" s="2" t="str">
        <f t="shared" si="8"/>
        <v>06</v>
      </c>
      <c r="D393" s="2">
        <v>42524.962500000001</v>
      </c>
      <c r="E393" s="2" t="str">
        <f t="shared" si="8"/>
        <v>06</v>
      </c>
      <c r="F393" t="s">
        <v>7</v>
      </c>
      <c r="G393" t="s">
        <v>16</v>
      </c>
      <c r="H393" t="s">
        <v>15</v>
      </c>
      <c r="I393">
        <v>4</v>
      </c>
      <c r="J393" t="s">
        <v>53</v>
      </c>
    </row>
    <row r="394" spans="1:10" x14ac:dyDescent="0.25">
      <c r="A394" s="1">
        <v>401</v>
      </c>
      <c r="B394" s="2">
        <v>42526.585416666669</v>
      </c>
      <c r="C394" s="2" t="str">
        <f t="shared" si="8"/>
        <v>06</v>
      </c>
      <c r="D394" s="2">
        <v>42526.606249999997</v>
      </c>
      <c r="E394" s="2" t="str">
        <f t="shared" si="8"/>
        <v>06</v>
      </c>
      <c r="F394" t="s">
        <v>7</v>
      </c>
      <c r="G394" t="s">
        <v>38</v>
      </c>
      <c r="H394" t="s">
        <v>131</v>
      </c>
      <c r="I394">
        <v>7.8</v>
      </c>
      <c r="J394" t="s">
        <v>13</v>
      </c>
    </row>
    <row r="395" spans="1:10" x14ac:dyDescent="0.25">
      <c r="A395" s="1">
        <v>402</v>
      </c>
      <c r="B395" s="2">
        <v>42526.629166666673</v>
      </c>
      <c r="C395" s="2" t="str">
        <f t="shared" si="8"/>
        <v>06</v>
      </c>
      <c r="D395" s="2">
        <v>42526.640277777777</v>
      </c>
      <c r="E395" s="2" t="str">
        <f t="shared" si="8"/>
        <v>06</v>
      </c>
      <c r="F395" t="s">
        <v>7</v>
      </c>
      <c r="G395" t="s">
        <v>15</v>
      </c>
      <c r="H395" t="s">
        <v>16</v>
      </c>
      <c r="I395">
        <v>7.8</v>
      </c>
      <c r="J395" t="s">
        <v>13</v>
      </c>
    </row>
    <row r="396" spans="1:10" x14ac:dyDescent="0.25">
      <c r="A396" s="1">
        <v>403</v>
      </c>
      <c r="B396" s="2">
        <v>42526.664583333331</v>
      </c>
      <c r="C396" s="2" t="str">
        <f t="shared" si="8"/>
        <v>06</v>
      </c>
      <c r="D396" s="2">
        <v>42526.672222222223</v>
      </c>
      <c r="E396" s="2" t="str">
        <f t="shared" si="8"/>
        <v>06</v>
      </c>
      <c r="F396" t="s">
        <v>7</v>
      </c>
      <c r="G396" t="s">
        <v>75</v>
      </c>
      <c r="H396" t="s">
        <v>75</v>
      </c>
      <c r="I396">
        <v>3.8</v>
      </c>
      <c r="J396" t="s">
        <v>9</v>
      </c>
    </row>
    <row r="397" spans="1:10" x14ac:dyDescent="0.25">
      <c r="A397" s="1">
        <v>404</v>
      </c>
      <c r="B397" s="2">
        <v>42526.753472222219</v>
      </c>
      <c r="C397" s="2" t="str">
        <f t="shared" si="8"/>
        <v>06</v>
      </c>
      <c r="D397" s="2">
        <v>42526.759722222218</v>
      </c>
      <c r="E397" s="2" t="str">
        <f t="shared" si="8"/>
        <v>06</v>
      </c>
      <c r="F397" t="s">
        <v>7</v>
      </c>
      <c r="G397" t="s">
        <v>16</v>
      </c>
      <c r="H397" t="s">
        <v>15</v>
      </c>
      <c r="I397">
        <v>2.5</v>
      </c>
      <c r="J397" t="s">
        <v>9</v>
      </c>
    </row>
    <row r="398" spans="1:10" x14ac:dyDescent="0.25">
      <c r="A398" s="1">
        <v>405</v>
      </c>
      <c r="B398" s="2">
        <v>42526.911805555559</v>
      </c>
      <c r="C398" s="2" t="str">
        <f t="shared" si="8"/>
        <v>06</v>
      </c>
      <c r="D398" s="2">
        <v>42526.920138888891</v>
      </c>
      <c r="E398" s="2" t="str">
        <f t="shared" si="8"/>
        <v>06</v>
      </c>
      <c r="F398" t="s">
        <v>7</v>
      </c>
      <c r="G398" t="s">
        <v>15</v>
      </c>
      <c r="H398" t="s">
        <v>36</v>
      </c>
      <c r="I398">
        <v>9.9</v>
      </c>
      <c r="J398" t="s">
        <v>11</v>
      </c>
    </row>
    <row r="399" spans="1:10" x14ac:dyDescent="0.25">
      <c r="A399" s="1">
        <v>406</v>
      </c>
      <c r="B399" s="2">
        <v>42526.994444444441</v>
      </c>
      <c r="C399" s="2" t="str">
        <f t="shared" si="8"/>
        <v>06</v>
      </c>
      <c r="D399" s="2">
        <v>42527.005555555559</v>
      </c>
      <c r="E399" s="2" t="str">
        <f t="shared" si="8"/>
        <v>06</v>
      </c>
      <c r="F399" t="s">
        <v>7</v>
      </c>
      <c r="G399" t="s">
        <v>36</v>
      </c>
      <c r="H399" t="s">
        <v>15</v>
      </c>
      <c r="I399">
        <v>9.9</v>
      </c>
      <c r="J399" t="s">
        <v>11</v>
      </c>
    </row>
    <row r="400" spans="1:10" x14ac:dyDescent="0.25">
      <c r="A400" s="1">
        <v>407</v>
      </c>
      <c r="B400" s="2">
        <v>42527.65</v>
      </c>
      <c r="C400" s="2" t="str">
        <f t="shared" si="8"/>
        <v>06</v>
      </c>
      <c r="D400" s="2">
        <v>42527.65625</v>
      </c>
      <c r="E400" s="2" t="str">
        <f t="shared" si="8"/>
        <v>06</v>
      </c>
      <c r="F400" t="s">
        <v>7</v>
      </c>
      <c r="G400" t="s">
        <v>38</v>
      </c>
      <c r="H400" t="s">
        <v>43</v>
      </c>
      <c r="I400">
        <v>3</v>
      </c>
      <c r="J400" t="s">
        <v>10</v>
      </c>
    </row>
    <row r="401" spans="1:10" x14ac:dyDescent="0.25">
      <c r="A401" s="1">
        <v>408</v>
      </c>
      <c r="B401" s="2">
        <v>42527.677777777782</v>
      </c>
      <c r="C401" s="2" t="str">
        <f t="shared" si="8"/>
        <v>06</v>
      </c>
      <c r="D401" s="2">
        <v>42527.683333333327</v>
      </c>
      <c r="E401" s="2" t="str">
        <f t="shared" si="8"/>
        <v>06</v>
      </c>
      <c r="F401" t="s">
        <v>7</v>
      </c>
      <c r="G401" t="s">
        <v>43</v>
      </c>
      <c r="H401" t="s">
        <v>38</v>
      </c>
      <c r="I401">
        <v>2.4</v>
      </c>
      <c r="J401" t="s">
        <v>10</v>
      </c>
    </row>
    <row r="402" spans="1:10" x14ac:dyDescent="0.25">
      <c r="A402" s="1">
        <v>409</v>
      </c>
      <c r="B402" s="2">
        <v>42527.837500000001</v>
      </c>
      <c r="C402" s="2" t="str">
        <f t="shared" si="8"/>
        <v>06</v>
      </c>
      <c r="D402" s="2">
        <v>42527.847222222219</v>
      </c>
      <c r="E402" s="2" t="str">
        <f t="shared" si="8"/>
        <v>06</v>
      </c>
      <c r="F402" t="s">
        <v>7</v>
      </c>
      <c r="G402" t="s">
        <v>15</v>
      </c>
      <c r="H402" t="s">
        <v>48</v>
      </c>
      <c r="I402">
        <v>5.7</v>
      </c>
      <c r="J402" t="s">
        <v>9</v>
      </c>
    </row>
    <row r="403" spans="1:10" x14ac:dyDescent="0.25">
      <c r="A403" s="1">
        <v>410</v>
      </c>
      <c r="B403" s="2">
        <v>42527.880555555559</v>
      </c>
      <c r="C403" s="2" t="str">
        <f t="shared" si="8"/>
        <v>06</v>
      </c>
      <c r="D403" s="2">
        <v>42527.900694444441</v>
      </c>
      <c r="E403" s="2" t="str">
        <f t="shared" si="8"/>
        <v>06</v>
      </c>
      <c r="F403" t="s">
        <v>7</v>
      </c>
      <c r="G403" t="s">
        <v>48</v>
      </c>
      <c r="H403" t="s">
        <v>15</v>
      </c>
      <c r="I403">
        <v>7.2</v>
      </c>
      <c r="J403" t="s">
        <v>9</v>
      </c>
    </row>
    <row r="404" spans="1:10" x14ac:dyDescent="0.25">
      <c r="A404" s="1">
        <v>411</v>
      </c>
      <c r="B404" s="2">
        <v>42527.90347222222</v>
      </c>
      <c r="C404" s="2" t="str">
        <f t="shared" si="8"/>
        <v>06</v>
      </c>
      <c r="D404" s="2">
        <v>42527.916666666657</v>
      </c>
      <c r="E404" s="2" t="str">
        <f t="shared" si="8"/>
        <v>06</v>
      </c>
      <c r="F404" t="s">
        <v>7</v>
      </c>
      <c r="G404" t="s">
        <v>15</v>
      </c>
      <c r="H404" t="s">
        <v>36</v>
      </c>
      <c r="I404">
        <v>10.4</v>
      </c>
      <c r="J404" t="s">
        <v>11</v>
      </c>
    </row>
    <row r="405" spans="1:10" x14ac:dyDescent="0.25">
      <c r="A405" s="1">
        <v>412</v>
      </c>
      <c r="B405" s="2">
        <v>42527.981944444437</v>
      </c>
      <c r="C405" s="2" t="str">
        <f t="shared" si="8"/>
        <v>06</v>
      </c>
      <c r="D405" s="2">
        <v>42527.991666666669</v>
      </c>
      <c r="E405" s="2" t="str">
        <f t="shared" si="8"/>
        <v>06</v>
      </c>
      <c r="F405" t="s">
        <v>7</v>
      </c>
      <c r="G405" t="s">
        <v>36</v>
      </c>
      <c r="H405" t="s">
        <v>15</v>
      </c>
      <c r="I405">
        <v>9.9</v>
      </c>
      <c r="J405" t="s">
        <v>11</v>
      </c>
    </row>
    <row r="406" spans="1:10" x14ac:dyDescent="0.25">
      <c r="A406" s="1">
        <v>413</v>
      </c>
      <c r="B406" s="2">
        <v>42528.904166666667</v>
      </c>
      <c r="C406" s="2" t="str">
        <f t="shared" si="8"/>
        <v>06</v>
      </c>
      <c r="D406" s="2">
        <v>42528.916666666657</v>
      </c>
      <c r="E406" s="2" t="str">
        <f t="shared" si="8"/>
        <v>06</v>
      </c>
      <c r="F406" t="s">
        <v>7</v>
      </c>
      <c r="G406" t="s">
        <v>15</v>
      </c>
      <c r="H406" t="s">
        <v>36</v>
      </c>
      <c r="I406">
        <v>10.4</v>
      </c>
      <c r="J406" t="s">
        <v>11</v>
      </c>
    </row>
    <row r="407" spans="1:10" x14ac:dyDescent="0.25">
      <c r="A407" s="1">
        <v>414</v>
      </c>
      <c r="B407" s="2">
        <v>42528.986805555563</v>
      </c>
      <c r="C407" s="2" t="str">
        <f t="shared" si="8"/>
        <v>06</v>
      </c>
      <c r="D407" s="2">
        <v>42529.00277777778</v>
      </c>
      <c r="E407" s="2" t="str">
        <f t="shared" si="8"/>
        <v>06</v>
      </c>
      <c r="F407" t="s">
        <v>7</v>
      </c>
      <c r="G407" t="s">
        <v>36</v>
      </c>
      <c r="H407" t="s">
        <v>15</v>
      </c>
      <c r="I407">
        <v>9.9</v>
      </c>
      <c r="J407" t="s">
        <v>11</v>
      </c>
    </row>
    <row r="408" spans="1:10" x14ac:dyDescent="0.25">
      <c r="A408" s="1">
        <v>415</v>
      </c>
      <c r="B408" s="2">
        <v>42529.349305555559</v>
      </c>
      <c r="C408" s="2" t="str">
        <f t="shared" si="8"/>
        <v>06</v>
      </c>
      <c r="D408" s="2">
        <v>42529.370138888888</v>
      </c>
      <c r="E408" s="2" t="str">
        <f t="shared" si="8"/>
        <v>06</v>
      </c>
      <c r="F408" t="s">
        <v>7</v>
      </c>
      <c r="G408" t="s">
        <v>15</v>
      </c>
      <c r="H408" t="s">
        <v>16</v>
      </c>
      <c r="I408">
        <v>8.6999999999999993</v>
      </c>
      <c r="J408" t="s">
        <v>9</v>
      </c>
    </row>
    <row r="409" spans="1:10" x14ac:dyDescent="0.25">
      <c r="A409" s="1">
        <v>416</v>
      </c>
      <c r="B409" s="2">
        <v>42529.50277777778</v>
      </c>
      <c r="C409" s="2" t="str">
        <f t="shared" si="8"/>
        <v>06</v>
      </c>
      <c r="D409" s="2">
        <v>42529.542361111111</v>
      </c>
      <c r="E409" s="2" t="str">
        <f t="shared" si="8"/>
        <v>06</v>
      </c>
      <c r="F409" t="s">
        <v>7</v>
      </c>
      <c r="G409" t="s">
        <v>17</v>
      </c>
      <c r="H409" t="s">
        <v>18</v>
      </c>
      <c r="I409">
        <v>22.3</v>
      </c>
      <c r="J409" t="s">
        <v>10</v>
      </c>
    </row>
    <row r="410" spans="1:10" x14ac:dyDescent="0.25">
      <c r="A410" s="1">
        <v>417</v>
      </c>
      <c r="B410" s="2">
        <v>42529.55</v>
      </c>
      <c r="C410" s="2" t="str">
        <f t="shared" si="8"/>
        <v>06</v>
      </c>
      <c r="D410" s="2">
        <v>42529.561805555553</v>
      </c>
      <c r="E410" s="2" t="str">
        <f t="shared" si="8"/>
        <v>06</v>
      </c>
      <c r="F410" t="s">
        <v>7</v>
      </c>
      <c r="G410" t="s">
        <v>136</v>
      </c>
      <c r="H410" t="s">
        <v>137</v>
      </c>
      <c r="I410">
        <v>3.3</v>
      </c>
      <c r="J410" t="s">
        <v>9</v>
      </c>
    </row>
    <row r="411" spans="1:10" x14ac:dyDescent="0.25">
      <c r="A411" s="1">
        <v>418</v>
      </c>
      <c r="B411" s="2">
        <v>42529.604861111111</v>
      </c>
      <c r="C411" s="2" t="str">
        <f t="shared" si="8"/>
        <v>06</v>
      </c>
      <c r="D411" s="2">
        <v>42529.609027777777</v>
      </c>
      <c r="E411" s="2" t="str">
        <f t="shared" si="8"/>
        <v>06</v>
      </c>
      <c r="F411" t="s">
        <v>7</v>
      </c>
      <c r="G411" t="s">
        <v>138</v>
      </c>
      <c r="H411" t="s">
        <v>139</v>
      </c>
      <c r="I411">
        <v>0.7</v>
      </c>
      <c r="J411" t="s">
        <v>10</v>
      </c>
    </row>
    <row r="412" spans="1:10" x14ac:dyDescent="0.25">
      <c r="A412" s="1">
        <v>419</v>
      </c>
      <c r="B412" s="2">
        <v>42529.704861111109</v>
      </c>
      <c r="C412" s="2" t="str">
        <f t="shared" si="8"/>
        <v>06</v>
      </c>
      <c r="D412" s="2">
        <v>42529.71597222222</v>
      </c>
      <c r="E412" s="2" t="str">
        <f t="shared" si="8"/>
        <v>06</v>
      </c>
      <c r="F412" t="s">
        <v>7</v>
      </c>
      <c r="G412" t="s">
        <v>140</v>
      </c>
      <c r="H412" t="s">
        <v>141</v>
      </c>
      <c r="I412">
        <v>2.5</v>
      </c>
      <c r="J412" t="s">
        <v>9</v>
      </c>
    </row>
    <row r="413" spans="1:10" x14ac:dyDescent="0.25">
      <c r="A413" s="1">
        <v>420</v>
      </c>
      <c r="B413" s="2">
        <v>42529.719444444447</v>
      </c>
      <c r="C413" s="2" t="str">
        <f t="shared" si="8"/>
        <v>06</v>
      </c>
      <c r="D413" s="2">
        <v>42529.720833333333</v>
      </c>
      <c r="E413" s="2" t="str">
        <f t="shared" si="8"/>
        <v>06</v>
      </c>
      <c r="F413" t="s">
        <v>7</v>
      </c>
      <c r="G413" t="s">
        <v>141</v>
      </c>
      <c r="H413" t="s">
        <v>142</v>
      </c>
      <c r="I413">
        <v>0.5</v>
      </c>
      <c r="J413" t="s">
        <v>10</v>
      </c>
    </row>
    <row r="414" spans="1:10" x14ac:dyDescent="0.25">
      <c r="A414" s="1">
        <v>421</v>
      </c>
      <c r="B414" s="2">
        <v>42529.749305555553</v>
      </c>
      <c r="C414" s="2" t="str">
        <f t="shared" si="8"/>
        <v>06</v>
      </c>
      <c r="D414" s="2">
        <v>42529.753472222219</v>
      </c>
      <c r="E414" s="2" t="str">
        <f t="shared" si="8"/>
        <v>06</v>
      </c>
      <c r="F414" t="s">
        <v>7</v>
      </c>
      <c r="G414" t="s">
        <v>142</v>
      </c>
      <c r="H414" t="s">
        <v>143</v>
      </c>
      <c r="I414">
        <v>0.9</v>
      </c>
      <c r="J414" t="s">
        <v>10</v>
      </c>
    </row>
    <row r="415" spans="1:10" x14ac:dyDescent="0.25">
      <c r="A415" s="1">
        <v>422</v>
      </c>
      <c r="B415" s="2">
        <v>42529.84097222222</v>
      </c>
      <c r="C415" s="2" t="str">
        <f t="shared" si="8"/>
        <v>06</v>
      </c>
      <c r="D415" s="2">
        <v>42529.850694444453</v>
      </c>
      <c r="E415" s="2" t="str">
        <f t="shared" si="8"/>
        <v>06</v>
      </c>
      <c r="F415" t="s">
        <v>7</v>
      </c>
      <c r="G415" t="s">
        <v>143</v>
      </c>
      <c r="H415" t="s">
        <v>144</v>
      </c>
      <c r="I415">
        <v>4.8</v>
      </c>
      <c r="J415" t="s">
        <v>10</v>
      </c>
    </row>
    <row r="416" spans="1:10" x14ac:dyDescent="0.25">
      <c r="A416" s="1">
        <v>423</v>
      </c>
      <c r="B416" s="2">
        <v>42531.638194444437</v>
      </c>
      <c r="C416" s="2" t="str">
        <f t="shared" si="8"/>
        <v>06</v>
      </c>
      <c r="D416" s="2">
        <v>42531.686111111107</v>
      </c>
      <c r="E416" s="2" t="str">
        <f t="shared" si="8"/>
        <v>06</v>
      </c>
      <c r="F416" t="s">
        <v>7</v>
      </c>
      <c r="G416" t="s">
        <v>18</v>
      </c>
      <c r="H416" t="s">
        <v>17</v>
      </c>
      <c r="I416">
        <v>16.3</v>
      </c>
      <c r="J416" t="s">
        <v>11</v>
      </c>
    </row>
    <row r="417" spans="1:10" x14ac:dyDescent="0.25">
      <c r="A417" s="1">
        <v>424</v>
      </c>
      <c r="B417" s="2">
        <v>42531.907638888893</v>
      </c>
      <c r="C417" s="2" t="str">
        <f t="shared" si="8"/>
        <v>06</v>
      </c>
      <c r="D417" s="2">
        <v>42531.919444444437</v>
      </c>
      <c r="E417" s="2" t="str">
        <f t="shared" si="8"/>
        <v>06</v>
      </c>
      <c r="F417" t="s">
        <v>7</v>
      </c>
      <c r="G417" t="s">
        <v>15</v>
      </c>
      <c r="H417" t="s">
        <v>36</v>
      </c>
      <c r="I417">
        <v>10.4</v>
      </c>
      <c r="J417" t="s">
        <v>11</v>
      </c>
    </row>
    <row r="418" spans="1:10" x14ac:dyDescent="0.25">
      <c r="A418" s="1">
        <v>425</v>
      </c>
      <c r="B418" s="2">
        <v>42531.995138888888</v>
      </c>
      <c r="C418" s="2" t="str">
        <f t="shared" si="8"/>
        <v>06</v>
      </c>
      <c r="D418" s="2">
        <v>42532.000694444447</v>
      </c>
      <c r="E418" s="2" t="str">
        <f t="shared" si="8"/>
        <v>06</v>
      </c>
      <c r="F418" t="s">
        <v>7</v>
      </c>
      <c r="G418" t="s">
        <v>36</v>
      </c>
      <c r="H418" t="s">
        <v>15</v>
      </c>
      <c r="I418">
        <v>9.9</v>
      </c>
      <c r="J418" t="s">
        <v>11</v>
      </c>
    </row>
    <row r="419" spans="1:10" x14ac:dyDescent="0.25">
      <c r="A419" s="1">
        <v>426</v>
      </c>
      <c r="B419" s="2">
        <v>42532.713888888888</v>
      </c>
      <c r="C419" s="2" t="str">
        <f t="shared" si="8"/>
        <v>06</v>
      </c>
      <c r="D419" s="2">
        <v>42532.719444444447</v>
      </c>
      <c r="E419" s="2" t="str">
        <f t="shared" si="8"/>
        <v>06</v>
      </c>
      <c r="F419" t="s">
        <v>7</v>
      </c>
      <c r="G419" t="s">
        <v>15</v>
      </c>
      <c r="H419" t="s">
        <v>16</v>
      </c>
      <c r="I419">
        <v>3.7</v>
      </c>
      <c r="J419" t="s">
        <v>10</v>
      </c>
    </row>
    <row r="420" spans="1:10" x14ac:dyDescent="0.25">
      <c r="A420" s="1">
        <v>427</v>
      </c>
      <c r="B420" s="2">
        <v>42532.731944444437</v>
      </c>
      <c r="C420" s="2" t="str">
        <f t="shared" si="8"/>
        <v>06</v>
      </c>
      <c r="D420" s="2">
        <v>42532.73541666667</v>
      </c>
      <c r="E420" s="2" t="str">
        <f t="shared" si="8"/>
        <v>06</v>
      </c>
      <c r="F420" t="s">
        <v>7</v>
      </c>
      <c r="G420" t="s">
        <v>16</v>
      </c>
      <c r="H420" t="s">
        <v>15</v>
      </c>
      <c r="I420">
        <v>4.5999999999999996</v>
      </c>
      <c r="J420" t="s">
        <v>9</v>
      </c>
    </row>
    <row r="421" spans="1:10" x14ac:dyDescent="0.25">
      <c r="A421" s="1">
        <v>428</v>
      </c>
      <c r="B421" s="2">
        <v>42532.743055555547</v>
      </c>
      <c r="C421" s="2" t="str">
        <f t="shared" si="8"/>
        <v>06</v>
      </c>
      <c r="D421" s="2">
        <v>42532.74722222222</v>
      </c>
      <c r="E421" s="2" t="str">
        <f t="shared" si="8"/>
        <v>06</v>
      </c>
      <c r="F421" t="s">
        <v>7</v>
      </c>
      <c r="G421" t="s">
        <v>44</v>
      </c>
      <c r="H421" t="s">
        <v>38</v>
      </c>
      <c r="I421">
        <v>1.7</v>
      </c>
    </row>
    <row r="422" spans="1:10" x14ac:dyDescent="0.25">
      <c r="A422" s="1">
        <v>429</v>
      </c>
      <c r="B422" s="2">
        <v>42532.90625</v>
      </c>
      <c r="C422" s="2" t="str">
        <f t="shared" si="8"/>
        <v>06</v>
      </c>
      <c r="D422" s="2">
        <v>42532.919444444437</v>
      </c>
      <c r="E422" s="2" t="str">
        <f t="shared" si="8"/>
        <v>06</v>
      </c>
      <c r="F422" t="s">
        <v>7</v>
      </c>
      <c r="G422" t="s">
        <v>15</v>
      </c>
      <c r="H422" t="s">
        <v>36</v>
      </c>
      <c r="I422">
        <v>10.4</v>
      </c>
      <c r="J422" t="s">
        <v>11</v>
      </c>
    </row>
    <row r="423" spans="1:10" x14ac:dyDescent="0.25">
      <c r="A423" s="1">
        <v>430</v>
      </c>
      <c r="B423" s="2">
        <v>42532.98541666667</v>
      </c>
      <c r="C423" s="2" t="str">
        <f t="shared" si="8"/>
        <v>06</v>
      </c>
      <c r="D423" s="2">
        <v>42533.003472222219</v>
      </c>
      <c r="E423" s="2" t="str">
        <f t="shared" si="8"/>
        <v>06</v>
      </c>
      <c r="F423" t="s">
        <v>7</v>
      </c>
      <c r="G423" t="s">
        <v>36</v>
      </c>
      <c r="H423" t="s">
        <v>15</v>
      </c>
      <c r="I423">
        <v>9.9</v>
      </c>
      <c r="J423" t="s">
        <v>11</v>
      </c>
    </row>
    <row r="424" spans="1:10" x14ac:dyDescent="0.25">
      <c r="A424" s="1">
        <v>431</v>
      </c>
      <c r="B424" s="2">
        <v>42533.828472222223</v>
      </c>
      <c r="C424" s="2" t="str">
        <f t="shared" si="8"/>
        <v>06</v>
      </c>
      <c r="D424" s="2">
        <v>42533.830555555563</v>
      </c>
      <c r="E424" s="2" t="str">
        <f t="shared" si="8"/>
        <v>06</v>
      </c>
      <c r="F424" t="s">
        <v>7</v>
      </c>
      <c r="G424" t="s">
        <v>15</v>
      </c>
      <c r="H424" t="s">
        <v>16</v>
      </c>
      <c r="I424">
        <v>2.5</v>
      </c>
      <c r="J424" t="s">
        <v>9</v>
      </c>
    </row>
    <row r="425" spans="1:10" x14ac:dyDescent="0.25">
      <c r="A425" s="1">
        <v>432</v>
      </c>
      <c r="B425" s="2">
        <v>42533.836805555547</v>
      </c>
      <c r="C425" s="2" t="str">
        <f t="shared" si="8"/>
        <v>06</v>
      </c>
      <c r="D425" s="2">
        <v>42533.844444444447</v>
      </c>
      <c r="E425" s="2" t="str">
        <f t="shared" si="8"/>
        <v>06</v>
      </c>
      <c r="F425" t="s">
        <v>7</v>
      </c>
      <c r="G425" t="s">
        <v>16</v>
      </c>
      <c r="H425" t="s">
        <v>15</v>
      </c>
      <c r="I425">
        <v>4.3</v>
      </c>
      <c r="J425" t="s">
        <v>10</v>
      </c>
    </row>
    <row r="426" spans="1:10" x14ac:dyDescent="0.25">
      <c r="A426" s="1">
        <v>433</v>
      </c>
      <c r="B426" s="2">
        <v>42533.915277777778</v>
      </c>
      <c r="C426" s="2" t="str">
        <f t="shared" si="8"/>
        <v>06</v>
      </c>
      <c r="D426" s="2">
        <v>42533.929861111108</v>
      </c>
      <c r="E426" s="2" t="str">
        <f t="shared" si="8"/>
        <v>06</v>
      </c>
      <c r="F426" t="s">
        <v>7</v>
      </c>
      <c r="G426" t="s">
        <v>116</v>
      </c>
      <c r="H426" t="s">
        <v>38</v>
      </c>
      <c r="I426">
        <v>2.8</v>
      </c>
      <c r="J426" t="s">
        <v>10</v>
      </c>
    </row>
    <row r="427" spans="1:10" x14ac:dyDescent="0.25">
      <c r="A427" s="1">
        <v>434</v>
      </c>
      <c r="B427" s="2">
        <v>42534.224305555559</v>
      </c>
      <c r="C427" s="2" t="str">
        <f t="shared" si="8"/>
        <v>06</v>
      </c>
      <c r="D427" s="2">
        <v>42534.237500000003</v>
      </c>
      <c r="E427" s="2" t="str">
        <f t="shared" si="8"/>
        <v>06</v>
      </c>
      <c r="F427" t="s">
        <v>7</v>
      </c>
      <c r="G427" t="s">
        <v>15</v>
      </c>
      <c r="H427" t="s">
        <v>16</v>
      </c>
      <c r="I427">
        <v>8.4</v>
      </c>
      <c r="J427" t="s">
        <v>9</v>
      </c>
    </row>
    <row r="428" spans="1:10" x14ac:dyDescent="0.25">
      <c r="A428" s="1">
        <v>435</v>
      </c>
      <c r="B428" s="2">
        <v>42534.595138888893</v>
      </c>
      <c r="C428" s="2" t="str">
        <f t="shared" si="8"/>
        <v>06</v>
      </c>
      <c r="D428" s="2">
        <v>42534.615277777782</v>
      </c>
      <c r="E428" s="2" t="str">
        <f t="shared" si="8"/>
        <v>06</v>
      </c>
      <c r="F428" t="s">
        <v>7</v>
      </c>
      <c r="G428" t="s">
        <v>145</v>
      </c>
      <c r="H428" t="s">
        <v>146</v>
      </c>
      <c r="I428">
        <v>13.2</v>
      </c>
      <c r="J428" t="s">
        <v>11</v>
      </c>
    </row>
    <row r="429" spans="1:10" x14ac:dyDescent="0.25">
      <c r="A429" s="1">
        <v>436</v>
      </c>
      <c r="B429" s="2">
        <v>42534.755555555559</v>
      </c>
      <c r="C429" s="2" t="str">
        <f t="shared" si="8"/>
        <v>06</v>
      </c>
      <c r="D429" s="2">
        <v>42534.782638888893</v>
      </c>
      <c r="E429" s="2" t="str">
        <f t="shared" si="8"/>
        <v>06</v>
      </c>
      <c r="F429" t="s">
        <v>7</v>
      </c>
      <c r="G429" t="s">
        <v>146</v>
      </c>
      <c r="H429" t="s">
        <v>147</v>
      </c>
      <c r="I429">
        <v>3.9</v>
      </c>
      <c r="J429" t="s">
        <v>9</v>
      </c>
    </row>
    <row r="430" spans="1:10" x14ac:dyDescent="0.25">
      <c r="A430" s="1">
        <v>437</v>
      </c>
      <c r="B430" s="2">
        <v>42534.787499999999</v>
      </c>
      <c r="C430" s="2" t="str">
        <f t="shared" si="8"/>
        <v>06</v>
      </c>
      <c r="D430" s="2">
        <v>42534.807638888888</v>
      </c>
      <c r="E430" s="2" t="str">
        <f t="shared" si="8"/>
        <v>06</v>
      </c>
      <c r="F430" t="s">
        <v>7</v>
      </c>
      <c r="G430" t="s">
        <v>147</v>
      </c>
      <c r="H430" t="s">
        <v>145</v>
      </c>
      <c r="I430">
        <v>5.0999999999999996</v>
      </c>
      <c r="J430" t="s">
        <v>9</v>
      </c>
    </row>
    <row r="431" spans="1:10" x14ac:dyDescent="0.25">
      <c r="A431" s="1">
        <v>438</v>
      </c>
      <c r="B431" s="2">
        <v>42534.833333333343</v>
      </c>
      <c r="C431" s="2" t="str">
        <f t="shared" si="8"/>
        <v>06</v>
      </c>
      <c r="D431" s="2">
        <v>42534.836805555547</v>
      </c>
      <c r="E431" s="2" t="str">
        <f t="shared" si="8"/>
        <v>06</v>
      </c>
      <c r="F431" t="s">
        <v>7</v>
      </c>
      <c r="G431" t="s">
        <v>145</v>
      </c>
      <c r="H431" t="s">
        <v>65</v>
      </c>
      <c r="I431">
        <v>5.2</v>
      </c>
      <c r="J431" t="s">
        <v>13</v>
      </c>
    </row>
    <row r="432" spans="1:10" x14ac:dyDescent="0.25">
      <c r="A432" s="1">
        <v>439</v>
      </c>
      <c r="B432" s="2">
        <v>42535.502083333333</v>
      </c>
      <c r="C432" s="2" t="str">
        <f t="shared" si="8"/>
        <v>06</v>
      </c>
      <c r="D432" s="2">
        <v>42535.51458333333</v>
      </c>
      <c r="E432" s="2" t="str">
        <f t="shared" si="8"/>
        <v>06</v>
      </c>
      <c r="F432" t="s">
        <v>7</v>
      </c>
      <c r="G432" t="s">
        <v>146</v>
      </c>
      <c r="H432" t="s">
        <v>123</v>
      </c>
      <c r="I432">
        <v>9.8000000000000007</v>
      </c>
    </row>
    <row r="433" spans="1:10" x14ac:dyDescent="0.25">
      <c r="A433" s="1">
        <v>440</v>
      </c>
      <c r="B433" s="2">
        <v>42535.67291666667</v>
      </c>
      <c r="C433" s="2" t="str">
        <f t="shared" si="8"/>
        <v>06</v>
      </c>
      <c r="D433" s="2">
        <v>42535.693749999999</v>
      </c>
      <c r="E433" s="2" t="str">
        <f t="shared" si="8"/>
        <v>06</v>
      </c>
      <c r="F433" t="s">
        <v>7</v>
      </c>
      <c r="G433" t="s">
        <v>123</v>
      </c>
      <c r="H433" t="s">
        <v>146</v>
      </c>
      <c r="I433">
        <v>11.6</v>
      </c>
      <c r="J433" t="s">
        <v>11</v>
      </c>
    </row>
    <row r="434" spans="1:10" x14ac:dyDescent="0.25">
      <c r="A434" s="1">
        <v>441</v>
      </c>
      <c r="B434" s="2">
        <v>42535.71875</v>
      </c>
      <c r="C434" s="2" t="str">
        <f t="shared" si="8"/>
        <v>06</v>
      </c>
      <c r="D434" s="2">
        <v>42535.724999999999</v>
      </c>
      <c r="E434" s="2" t="str">
        <f t="shared" si="8"/>
        <v>06</v>
      </c>
      <c r="F434" t="s">
        <v>7</v>
      </c>
      <c r="G434" t="s">
        <v>146</v>
      </c>
      <c r="H434" t="s">
        <v>145</v>
      </c>
      <c r="I434">
        <v>5.0999999999999996</v>
      </c>
      <c r="J434" t="s">
        <v>11</v>
      </c>
    </row>
    <row r="435" spans="1:10" x14ac:dyDescent="0.25">
      <c r="A435" s="1">
        <v>442</v>
      </c>
      <c r="B435" s="2">
        <v>42535.727083333331</v>
      </c>
      <c r="C435" s="2" t="str">
        <f t="shared" si="8"/>
        <v>06</v>
      </c>
      <c r="D435" s="2">
        <v>42535.747916666667</v>
      </c>
      <c r="E435" s="2" t="str">
        <f t="shared" si="8"/>
        <v>06</v>
      </c>
      <c r="F435" t="s">
        <v>7</v>
      </c>
      <c r="G435" t="s">
        <v>31</v>
      </c>
      <c r="H435" t="s">
        <v>148</v>
      </c>
      <c r="I435">
        <v>9.3000000000000007</v>
      </c>
      <c r="J435" t="s">
        <v>10</v>
      </c>
    </row>
    <row r="436" spans="1:10" x14ac:dyDescent="0.25">
      <c r="A436" s="1">
        <v>443</v>
      </c>
      <c r="B436" s="2">
        <v>42536.073611111111</v>
      </c>
      <c r="C436" s="2" t="str">
        <f t="shared" si="8"/>
        <v>06</v>
      </c>
      <c r="D436" s="2">
        <v>42536.087500000001</v>
      </c>
      <c r="E436" s="2" t="str">
        <f t="shared" si="8"/>
        <v>06</v>
      </c>
      <c r="F436" t="s">
        <v>7</v>
      </c>
      <c r="G436" t="s">
        <v>149</v>
      </c>
      <c r="H436" t="s">
        <v>150</v>
      </c>
      <c r="I436">
        <v>12.4</v>
      </c>
      <c r="J436" t="s">
        <v>53</v>
      </c>
    </row>
    <row r="437" spans="1:10" x14ac:dyDescent="0.25">
      <c r="A437" s="1">
        <v>444</v>
      </c>
      <c r="B437" s="2">
        <v>42536.643055555563</v>
      </c>
      <c r="C437" s="2" t="str">
        <f t="shared" si="8"/>
        <v>06</v>
      </c>
      <c r="D437" s="2">
        <v>42536.648611111108</v>
      </c>
      <c r="E437" s="2" t="str">
        <f t="shared" si="8"/>
        <v>06</v>
      </c>
      <c r="F437" t="s">
        <v>7</v>
      </c>
      <c r="G437" t="s">
        <v>151</v>
      </c>
      <c r="H437" t="s">
        <v>152</v>
      </c>
      <c r="I437">
        <v>1.9</v>
      </c>
      <c r="J437" t="s">
        <v>53</v>
      </c>
    </row>
    <row r="438" spans="1:10" x14ac:dyDescent="0.25">
      <c r="A438" s="1">
        <v>445</v>
      </c>
      <c r="B438" s="2">
        <v>42536.692361111112</v>
      </c>
      <c r="C438" s="2" t="str">
        <f t="shared" si="8"/>
        <v>06</v>
      </c>
      <c r="D438" s="2">
        <v>42536.709722222222</v>
      </c>
      <c r="E438" s="2" t="str">
        <f t="shared" si="8"/>
        <v>06</v>
      </c>
      <c r="F438" t="s">
        <v>7</v>
      </c>
      <c r="G438" t="s">
        <v>152</v>
      </c>
      <c r="H438" t="s">
        <v>153</v>
      </c>
      <c r="I438">
        <v>6.4</v>
      </c>
      <c r="J438" t="s">
        <v>13</v>
      </c>
    </row>
    <row r="439" spans="1:10" x14ac:dyDescent="0.25">
      <c r="A439" s="1">
        <v>446</v>
      </c>
      <c r="B439" s="2">
        <v>42536.728472222218</v>
      </c>
      <c r="C439" s="2" t="str">
        <f t="shared" si="8"/>
        <v>06</v>
      </c>
      <c r="D439" s="2">
        <v>42536.742361111108</v>
      </c>
      <c r="E439" s="2" t="str">
        <f t="shared" si="8"/>
        <v>06</v>
      </c>
      <c r="F439" t="s">
        <v>55</v>
      </c>
      <c r="G439" t="s">
        <v>153</v>
      </c>
      <c r="H439" t="s">
        <v>154</v>
      </c>
      <c r="I439">
        <v>5.5</v>
      </c>
    </row>
    <row r="440" spans="1:10" x14ac:dyDescent="0.25">
      <c r="A440" s="1">
        <v>447</v>
      </c>
      <c r="B440" s="2">
        <v>42536.827777777777</v>
      </c>
      <c r="C440" s="2" t="str">
        <f t="shared" si="8"/>
        <v>06</v>
      </c>
      <c r="D440" s="2">
        <v>42536.831944444442</v>
      </c>
      <c r="E440" s="2" t="str">
        <f t="shared" si="8"/>
        <v>06</v>
      </c>
      <c r="F440" t="s">
        <v>7</v>
      </c>
      <c r="G440" t="s">
        <v>154</v>
      </c>
      <c r="H440" t="s">
        <v>155</v>
      </c>
      <c r="I440">
        <v>1.5</v>
      </c>
      <c r="J440" t="s">
        <v>9</v>
      </c>
    </row>
    <row r="441" spans="1:10" x14ac:dyDescent="0.25">
      <c r="A441" s="1">
        <v>448</v>
      </c>
      <c r="B441" s="2">
        <v>42537.566666666673</v>
      </c>
      <c r="C441" s="2" t="str">
        <f t="shared" si="8"/>
        <v>06</v>
      </c>
      <c r="D441" s="2">
        <v>42537.604166666657</v>
      </c>
      <c r="E441" s="2" t="str">
        <f t="shared" si="8"/>
        <v>06</v>
      </c>
      <c r="F441" t="s">
        <v>7</v>
      </c>
      <c r="G441" t="s">
        <v>150</v>
      </c>
      <c r="H441" t="s">
        <v>156</v>
      </c>
      <c r="I441">
        <v>14.5</v>
      </c>
    </row>
    <row r="442" spans="1:10" x14ac:dyDescent="0.25">
      <c r="A442" s="1">
        <v>449</v>
      </c>
      <c r="B442" s="2">
        <v>42537.612500000003</v>
      </c>
      <c r="C442" s="2" t="str">
        <f t="shared" si="8"/>
        <v>06</v>
      </c>
      <c r="D442" s="2">
        <v>42537.615277777782</v>
      </c>
      <c r="E442" s="2" t="str">
        <f t="shared" si="8"/>
        <v>06</v>
      </c>
      <c r="F442" t="s">
        <v>7</v>
      </c>
      <c r="G442" t="s">
        <v>156</v>
      </c>
      <c r="H442" t="s">
        <v>149</v>
      </c>
      <c r="I442">
        <v>2.7</v>
      </c>
    </row>
    <row r="443" spans="1:10" x14ac:dyDescent="0.25">
      <c r="A443" s="1">
        <v>450</v>
      </c>
      <c r="B443" s="2">
        <v>42537.636805555558</v>
      </c>
      <c r="C443" s="2" t="str">
        <f t="shared" si="8"/>
        <v>06</v>
      </c>
      <c r="D443" s="2">
        <v>42537.65347222222</v>
      </c>
      <c r="E443" s="2" t="str">
        <f t="shared" si="8"/>
        <v>06</v>
      </c>
      <c r="F443" t="s">
        <v>7</v>
      </c>
      <c r="G443" t="s">
        <v>149</v>
      </c>
      <c r="H443" t="s">
        <v>150</v>
      </c>
      <c r="I443">
        <v>15</v>
      </c>
    </row>
    <row r="444" spans="1:10" x14ac:dyDescent="0.25">
      <c r="A444" s="1">
        <v>451</v>
      </c>
      <c r="B444" s="2">
        <v>42537.818749999999</v>
      </c>
      <c r="C444" s="2" t="str">
        <f t="shared" si="8"/>
        <v>06</v>
      </c>
      <c r="D444" s="2">
        <v>42537.830555555563</v>
      </c>
      <c r="E444" s="2" t="str">
        <f t="shared" si="8"/>
        <v>06</v>
      </c>
      <c r="F444" t="s">
        <v>7</v>
      </c>
      <c r="G444" t="s">
        <v>150</v>
      </c>
      <c r="H444" t="s">
        <v>149</v>
      </c>
      <c r="I444">
        <v>12.9</v>
      </c>
    </row>
    <row r="445" spans="1:10" x14ac:dyDescent="0.25">
      <c r="A445" s="1">
        <v>452</v>
      </c>
      <c r="B445" s="2">
        <v>42537.904861111107</v>
      </c>
      <c r="C445" s="2" t="str">
        <f t="shared" si="8"/>
        <v>06</v>
      </c>
      <c r="D445" s="2">
        <v>42537.913888888892</v>
      </c>
      <c r="E445" s="2" t="str">
        <f t="shared" si="8"/>
        <v>06</v>
      </c>
      <c r="F445" t="s">
        <v>7</v>
      </c>
      <c r="G445" t="s">
        <v>149</v>
      </c>
      <c r="H445" t="s">
        <v>150</v>
      </c>
      <c r="I445">
        <v>13.6</v>
      </c>
    </row>
    <row r="446" spans="1:10" x14ac:dyDescent="0.25">
      <c r="A446" s="1">
        <v>453</v>
      </c>
      <c r="B446" s="2">
        <v>42538.674305555563</v>
      </c>
      <c r="C446" s="2" t="str">
        <f t="shared" si="8"/>
        <v>06</v>
      </c>
      <c r="D446" s="2">
        <v>42538.697222222218</v>
      </c>
      <c r="E446" s="2" t="str">
        <f t="shared" si="8"/>
        <v>06</v>
      </c>
      <c r="F446" t="s">
        <v>7</v>
      </c>
      <c r="G446" t="s">
        <v>150</v>
      </c>
      <c r="H446" t="s">
        <v>149</v>
      </c>
      <c r="I446">
        <v>12.2</v>
      </c>
    </row>
    <row r="447" spans="1:10" x14ac:dyDescent="0.25">
      <c r="A447" s="1">
        <v>454</v>
      </c>
      <c r="B447" s="2">
        <v>42539.020138888889</v>
      </c>
      <c r="C447" s="2" t="str">
        <f t="shared" si="8"/>
        <v>06</v>
      </c>
      <c r="D447" s="2">
        <v>42539.035416666673</v>
      </c>
      <c r="E447" s="2" t="str">
        <f t="shared" si="8"/>
        <v>06</v>
      </c>
      <c r="F447" t="s">
        <v>7</v>
      </c>
      <c r="G447" t="s">
        <v>16</v>
      </c>
      <c r="H447" t="s">
        <v>15</v>
      </c>
      <c r="I447">
        <v>8.6999999999999993</v>
      </c>
    </row>
    <row r="448" spans="1:10" x14ac:dyDescent="0.25">
      <c r="A448" s="1">
        <v>455</v>
      </c>
      <c r="B448" s="2">
        <v>42540.11041666667</v>
      </c>
      <c r="C448" s="2" t="str">
        <f t="shared" si="8"/>
        <v>06</v>
      </c>
      <c r="D448" s="2">
        <v>42540.118055555547</v>
      </c>
      <c r="E448" s="2" t="str">
        <f t="shared" si="8"/>
        <v>06</v>
      </c>
      <c r="F448" t="s">
        <v>7</v>
      </c>
      <c r="G448" t="s">
        <v>15</v>
      </c>
      <c r="H448" t="s">
        <v>40</v>
      </c>
      <c r="I448">
        <v>6</v>
      </c>
    </row>
    <row r="449" spans="1:10" x14ac:dyDescent="0.25">
      <c r="A449" s="1">
        <v>456</v>
      </c>
      <c r="B449" s="2">
        <v>42540.243750000001</v>
      </c>
      <c r="C449" s="2" t="str">
        <f t="shared" si="8"/>
        <v>06</v>
      </c>
      <c r="D449" s="2">
        <v>42540.25</v>
      </c>
      <c r="E449" s="2" t="str">
        <f t="shared" si="8"/>
        <v>06</v>
      </c>
      <c r="F449" t="s">
        <v>7</v>
      </c>
      <c r="G449" t="s">
        <v>40</v>
      </c>
      <c r="H449" t="s">
        <v>15</v>
      </c>
      <c r="I449">
        <v>5.9</v>
      </c>
    </row>
    <row r="450" spans="1:10" x14ac:dyDescent="0.25">
      <c r="A450" s="1">
        <v>457</v>
      </c>
      <c r="B450" s="2">
        <v>42542.652083333327</v>
      </c>
      <c r="C450" s="2" t="str">
        <f t="shared" si="8"/>
        <v>06</v>
      </c>
      <c r="D450" s="2">
        <v>42542.672222222223</v>
      </c>
      <c r="E450" s="2" t="str">
        <f t="shared" si="8"/>
        <v>06</v>
      </c>
      <c r="F450" t="s">
        <v>7</v>
      </c>
      <c r="G450" t="s">
        <v>15</v>
      </c>
      <c r="H450" t="s">
        <v>40</v>
      </c>
      <c r="I450">
        <v>19.3</v>
      </c>
    </row>
    <row r="451" spans="1:10" x14ac:dyDescent="0.25">
      <c r="A451" s="1">
        <v>458</v>
      </c>
      <c r="B451" s="2">
        <v>42542.71597222222</v>
      </c>
      <c r="C451" s="2" t="str">
        <f t="shared" ref="C451:E514" si="9" xml:space="preserve"> TEXT(B451, "mm")</f>
        <v>06</v>
      </c>
      <c r="D451" s="2">
        <v>42542.751388888893</v>
      </c>
      <c r="E451" s="2" t="str">
        <f t="shared" si="9"/>
        <v>06</v>
      </c>
      <c r="F451" t="s">
        <v>7</v>
      </c>
      <c r="G451" t="s">
        <v>40</v>
      </c>
      <c r="H451" t="s">
        <v>15</v>
      </c>
      <c r="I451">
        <v>16.600000000000001</v>
      </c>
      <c r="J451" t="s">
        <v>9</v>
      </c>
    </row>
    <row r="452" spans="1:10" x14ac:dyDescent="0.25">
      <c r="A452" s="1">
        <v>459</v>
      </c>
      <c r="B452" s="2">
        <v>42545.445138888892</v>
      </c>
      <c r="C452" s="2" t="str">
        <f t="shared" si="9"/>
        <v>06</v>
      </c>
      <c r="D452" s="2">
        <v>42545.456250000003</v>
      </c>
      <c r="E452" s="2" t="str">
        <f t="shared" si="9"/>
        <v>06</v>
      </c>
      <c r="F452" t="s">
        <v>7</v>
      </c>
      <c r="G452" t="s">
        <v>38</v>
      </c>
      <c r="H452" t="s">
        <v>72</v>
      </c>
      <c r="I452">
        <v>7.1</v>
      </c>
      <c r="J452" t="s">
        <v>9</v>
      </c>
    </row>
    <row r="453" spans="1:10" x14ac:dyDescent="0.25">
      <c r="A453" s="1">
        <v>460</v>
      </c>
      <c r="B453" s="2">
        <v>42545.495833333327</v>
      </c>
      <c r="C453" s="2" t="str">
        <f t="shared" si="9"/>
        <v>06</v>
      </c>
      <c r="D453" s="2">
        <v>42545.500694444447</v>
      </c>
      <c r="E453" s="2" t="str">
        <f t="shared" si="9"/>
        <v>06</v>
      </c>
      <c r="F453" t="s">
        <v>7</v>
      </c>
      <c r="G453" t="s">
        <v>72</v>
      </c>
      <c r="H453" t="s">
        <v>52</v>
      </c>
      <c r="I453">
        <v>2.1</v>
      </c>
      <c r="J453" t="s">
        <v>9</v>
      </c>
    </row>
    <row r="454" spans="1:10" x14ac:dyDescent="0.25">
      <c r="A454" s="1">
        <v>461</v>
      </c>
      <c r="B454" s="2">
        <v>42545.513194444437</v>
      </c>
      <c r="C454" s="2" t="str">
        <f t="shared" si="9"/>
        <v>06</v>
      </c>
      <c r="D454" s="2">
        <v>42545.525694444441</v>
      </c>
      <c r="E454" s="2" t="str">
        <f t="shared" si="9"/>
        <v>06</v>
      </c>
      <c r="F454" t="s">
        <v>7</v>
      </c>
      <c r="G454" t="s">
        <v>15</v>
      </c>
      <c r="H454" t="s">
        <v>40</v>
      </c>
      <c r="I454">
        <v>8.6</v>
      </c>
      <c r="J454" t="s">
        <v>10</v>
      </c>
    </row>
    <row r="455" spans="1:10" x14ac:dyDescent="0.25">
      <c r="A455" s="1">
        <v>462</v>
      </c>
      <c r="B455" s="2">
        <v>42545.534722222219</v>
      </c>
      <c r="C455" s="2" t="str">
        <f t="shared" si="9"/>
        <v>06</v>
      </c>
      <c r="D455" s="2">
        <v>42545.55</v>
      </c>
      <c r="E455" s="2" t="str">
        <f t="shared" si="9"/>
        <v>06</v>
      </c>
      <c r="F455" t="s">
        <v>7</v>
      </c>
      <c r="G455" t="s">
        <v>40</v>
      </c>
      <c r="H455" t="s">
        <v>16</v>
      </c>
      <c r="I455">
        <v>9</v>
      </c>
      <c r="J455" t="s">
        <v>10</v>
      </c>
    </row>
    <row r="456" spans="1:10" x14ac:dyDescent="0.25">
      <c r="A456" s="1">
        <v>463</v>
      </c>
      <c r="B456" s="2">
        <v>42545.554166666669</v>
      </c>
      <c r="C456" s="2" t="str">
        <f t="shared" si="9"/>
        <v>06</v>
      </c>
      <c r="D456" s="2">
        <v>42545.560416666667</v>
      </c>
      <c r="E456" s="2" t="str">
        <f t="shared" si="9"/>
        <v>06</v>
      </c>
      <c r="F456" t="s">
        <v>7</v>
      </c>
      <c r="G456" t="s">
        <v>16</v>
      </c>
      <c r="H456" t="s">
        <v>15</v>
      </c>
      <c r="I456">
        <v>3.1</v>
      </c>
      <c r="J456" t="s">
        <v>10</v>
      </c>
    </row>
    <row r="457" spans="1:10" x14ac:dyDescent="0.25">
      <c r="A457" s="1">
        <v>464</v>
      </c>
      <c r="B457" s="2">
        <v>42545.584027777782</v>
      </c>
      <c r="C457" s="2" t="str">
        <f t="shared" si="9"/>
        <v>06</v>
      </c>
      <c r="D457" s="2">
        <v>42545.597222222219</v>
      </c>
      <c r="E457" s="2" t="str">
        <f t="shared" si="9"/>
        <v>06</v>
      </c>
      <c r="F457" t="s">
        <v>7</v>
      </c>
      <c r="G457" t="s">
        <v>15</v>
      </c>
      <c r="H457" t="s">
        <v>16</v>
      </c>
      <c r="I457">
        <v>8.4</v>
      </c>
      <c r="J457" t="s">
        <v>24</v>
      </c>
    </row>
    <row r="458" spans="1:10" x14ac:dyDescent="0.25">
      <c r="A458" s="1">
        <v>465</v>
      </c>
      <c r="B458" s="2">
        <v>42545.863888888889</v>
      </c>
      <c r="C458" s="2" t="str">
        <f t="shared" si="9"/>
        <v>06</v>
      </c>
      <c r="D458" s="2">
        <v>42545.876388888893</v>
      </c>
      <c r="E458" s="2" t="str">
        <f t="shared" si="9"/>
        <v>06</v>
      </c>
      <c r="F458" t="s">
        <v>7</v>
      </c>
      <c r="G458" t="s">
        <v>149</v>
      </c>
      <c r="H458" t="s">
        <v>150</v>
      </c>
      <c r="I458">
        <v>12.8</v>
      </c>
    </row>
    <row r="459" spans="1:10" x14ac:dyDescent="0.25">
      <c r="A459" s="1">
        <v>466</v>
      </c>
      <c r="B459" s="2">
        <v>42546.377083333333</v>
      </c>
      <c r="C459" s="2" t="str">
        <f t="shared" si="9"/>
        <v>06</v>
      </c>
      <c r="D459" s="2">
        <v>42546.383333333331</v>
      </c>
      <c r="E459" s="2" t="str">
        <f t="shared" si="9"/>
        <v>06</v>
      </c>
      <c r="F459" t="s">
        <v>7</v>
      </c>
      <c r="G459" t="s">
        <v>151</v>
      </c>
      <c r="H459" t="s">
        <v>157</v>
      </c>
      <c r="I459">
        <v>4.5</v>
      </c>
    </row>
    <row r="460" spans="1:10" x14ac:dyDescent="0.25">
      <c r="A460" s="1">
        <v>467</v>
      </c>
      <c r="B460" s="2">
        <v>42546.385416666657</v>
      </c>
      <c r="C460" s="2" t="str">
        <f t="shared" si="9"/>
        <v>06</v>
      </c>
      <c r="D460" s="2">
        <v>42546.422222222223</v>
      </c>
      <c r="E460" s="2" t="str">
        <f t="shared" si="9"/>
        <v>06</v>
      </c>
      <c r="F460" t="s">
        <v>7</v>
      </c>
      <c r="G460" t="s">
        <v>150</v>
      </c>
      <c r="H460" t="s">
        <v>158</v>
      </c>
      <c r="I460">
        <v>11.8</v>
      </c>
      <c r="J460" t="s">
        <v>53</v>
      </c>
    </row>
    <row r="461" spans="1:10" x14ac:dyDescent="0.25">
      <c r="A461" s="1">
        <v>468</v>
      </c>
      <c r="B461" s="2">
        <v>42546.429166666669</v>
      </c>
      <c r="C461" s="2" t="str">
        <f t="shared" si="9"/>
        <v>06</v>
      </c>
      <c r="D461" s="2">
        <v>42546.434027777781</v>
      </c>
      <c r="E461" s="2" t="str">
        <f t="shared" si="9"/>
        <v>06</v>
      </c>
      <c r="F461" t="s">
        <v>7</v>
      </c>
      <c r="G461" t="s">
        <v>158</v>
      </c>
      <c r="H461" t="s">
        <v>159</v>
      </c>
      <c r="I461">
        <v>1.1000000000000001</v>
      </c>
      <c r="J461" t="s">
        <v>10</v>
      </c>
    </row>
    <row r="462" spans="1:10" x14ac:dyDescent="0.25">
      <c r="A462" s="1">
        <v>469</v>
      </c>
      <c r="B462" s="2">
        <v>42546.451388888891</v>
      </c>
      <c r="C462" s="2" t="str">
        <f t="shared" si="9"/>
        <v>06</v>
      </c>
      <c r="D462" s="2">
        <v>42546.470833333333</v>
      </c>
      <c r="E462" s="2" t="str">
        <f t="shared" si="9"/>
        <v>06</v>
      </c>
      <c r="F462" t="s">
        <v>7</v>
      </c>
      <c r="G462" t="s">
        <v>159</v>
      </c>
      <c r="H462" t="s">
        <v>156</v>
      </c>
      <c r="I462">
        <v>17</v>
      </c>
      <c r="J462" t="s">
        <v>9</v>
      </c>
    </row>
    <row r="463" spans="1:10" x14ac:dyDescent="0.25">
      <c r="A463" s="1">
        <v>470</v>
      </c>
      <c r="B463" s="2">
        <v>42546.475694444453</v>
      </c>
      <c r="C463" s="2" t="str">
        <f t="shared" si="9"/>
        <v>06</v>
      </c>
      <c r="D463" s="2">
        <v>42546.481944444437</v>
      </c>
      <c r="E463" s="2" t="str">
        <f t="shared" si="9"/>
        <v>06</v>
      </c>
      <c r="F463" t="s">
        <v>7</v>
      </c>
      <c r="G463" t="s">
        <v>160</v>
      </c>
      <c r="H463" t="s">
        <v>160</v>
      </c>
      <c r="I463">
        <v>1.7</v>
      </c>
      <c r="J463" t="s">
        <v>11</v>
      </c>
    </row>
    <row r="464" spans="1:10" x14ac:dyDescent="0.25">
      <c r="A464" s="1">
        <v>471</v>
      </c>
      <c r="B464" s="2">
        <v>42546.495138888888</v>
      </c>
      <c r="C464" s="2" t="str">
        <f t="shared" si="9"/>
        <v>06</v>
      </c>
      <c r="D464" s="2">
        <v>42546.556250000001</v>
      </c>
      <c r="E464" s="2" t="str">
        <f t="shared" si="9"/>
        <v>06</v>
      </c>
      <c r="F464" t="s">
        <v>7</v>
      </c>
      <c r="G464" t="s">
        <v>156</v>
      </c>
      <c r="H464" t="s">
        <v>150</v>
      </c>
      <c r="I464">
        <v>15.5</v>
      </c>
      <c r="J464" t="s">
        <v>11</v>
      </c>
    </row>
    <row r="465" spans="1:10" x14ac:dyDescent="0.25">
      <c r="A465" s="1">
        <v>472</v>
      </c>
      <c r="B465" s="2">
        <v>42546.824305555558</v>
      </c>
      <c r="C465" s="2" t="str">
        <f t="shared" si="9"/>
        <v>06</v>
      </c>
      <c r="D465" s="2">
        <v>42546.831944444442</v>
      </c>
      <c r="E465" s="2" t="str">
        <f t="shared" si="9"/>
        <v>06</v>
      </c>
      <c r="F465" t="s">
        <v>7</v>
      </c>
      <c r="G465" t="s">
        <v>154</v>
      </c>
      <c r="H465" t="s">
        <v>161</v>
      </c>
      <c r="I465">
        <v>1.6</v>
      </c>
    </row>
    <row r="466" spans="1:10" x14ac:dyDescent="0.25">
      <c r="A466" s="1">
        <v>473</v>
      </c>
      <c r="B466" s="2">
        <v>42546.97152777778</v>
      </c>
      <c r="C466" s="2" t="str">
        <f t="shared" si="9"/>
        <v>06</v>
      </c>
      <c r="D466" s="2">
        <v>42546.976388888892</v>
      </c>
      <c r="E466" s="2" t="str">
        <f t="shared" si="9"/>
        <v>06</v>
      </c>
      <c r="F466" t="s">
        <v>7</v>
      </c>
      <c r="G466" t="s">
        <v>161</v>
      </c>
      <c r="H466" t="s">
        <v>154</v>
      </c>
      <c r="I466">
        <v>1.5</v>
      </c>
    </row>
    <row r="467" spans="1:10" x14ac:dyDescent="0.25">
      <c r="A467" s="1">
        <v>474</v>
      </c>
      <c r="B467" s="2">
        <v>42547.738194444442</v>
      </c>
      <c r="C467" s="2" t="str">
        <f t="shared" si="9"/>
        <v>06</v>
      </c>
      <c r="D467" s="2">
        <v>42547.762499999997</v>
      </c>
      <c r="E467" s="2" t="str">
        <f t="shared" si="9"/>
        <v>06</v>
      </c>
      <c r="F467" t="s">
        <v>7</v>
      </c>
      <c r="G467" t="s">
        <v>150</v>
      </c>
      <c r="H467" t="s">
        <v>149</v>
      </c>
      <c r="I467">
        <v>12.6</v>
      </c>
      <c r="J467" t="s">
        <v>11</v>
      </c>
    </row>
    <row r="468" spans="1:10" x14ac:dyDescent="0.25">
      <c r="A468" s="1">
        <v>475</v>
      </c>
      <c r="B468" s="2">
        <v>42547.78125</v>
      </c>
      <c r="C468" s="2" t="str">
        <f t="shared" si="9"/>
        <v>06</v>
      </c>
      <c r="D468" s="2">
        <v>42547.8</v>
      </c>
      <c r="E468" s="2" t="str">
        <f t="shared" si="9"/>
        <v>06</v>
      </c>
      <c r="F468" t="s">
        <v>7</v>
      </c>
      <c r="G468" t="s">
        <v>160</v>
      </c>
      <c r="H468" t="s">
        <v>160</v>
      </c>
      <c r="I468">
        <v>4.8</v>
      </c>
    </row>
    <row r="469" spans="1:10" x14ac:dyDescent="0.25">
      <c r="A469" s="1">
        <v>476</v>
      </c>
      <c r="B469" s="2">
        <v>42547.820138888892</v>
      </c>
      <c r="C469" s="2" t="str">
        <f t="shared" si="9"/>
        <v>06</v>
      </c>
      <c r="D469" s="2">
        <v>42547.826388888891</v>
      </c>
      <c r="E469" s="2" t="str">
        <f t="shared" si="9"/>
        <v>06</v>
      </c>
      <c r="F469" t="s">
        <v>7</v>
      </c>
      <c r="G469" t="s">
        <v>149</v>
      </c>
      <c r="H469" t="s">
        <v>149</v>
      </c>
      <c r="I469">
        <v>2.2000000000000002</v>
      </c>
    </row>
    <row r="470" spans="1:10" x14ac:dyDescent="0.25">
      <c r="A470" s="1">
        <v>477</v>
      </c>
      <c r="B470" s="2">
        <v>42547.884722222218</v>
      </c>
      <c r="C470" s="2" t="str">
        <f t="shared" si="9"/>
        <v>06</v>
      </c>
      <c r="D470" s="2">
        <v>42547.904166666667</v>
      </c>
      <c r="E470" s="2" t="str">
        <f t="shared" si="9"/>
        <v>06</v>
      </c>
      <c r="F470" t="s">
        <v>7</v>
      </c>
      <c r="G470" t="s">
        <v>149</v>
      </c>
      <c r="H470" t="s">
        <v>150</v>
      </c>
      <c r="I470">
        <v>13</v>
      </c>
    </row>
    <row r="471" spans="1:10" x14ac:dyDescent="0.25">
      <c r="A471" s="1">
        <v>478</v>
      </c>
      <c r="B471" s="2">
        <v>42548.317361111112</v>
      </c>
      <c r="C471" s="2" t="str">
        <f t="shared" si="9"/>
        <v>06</v>
      </c>
      <c r="D471" s="2">
        <v>42548.366666666669</v>
      </c>
      <c r="E471" s="2" t="str">
        <f t="shared" si="9"/>
        <v>06</v>
      </c>
      <c r="F471" t="s">
        <v>7</v>
      </c>
      <c r="G471" t="s">
        <v>150</v>
      </c>
      <c r="H471" t="s">
        <v>162</v>
      </c>
      <c r="I471">
        <v>46.9</v>
      </c>
    </row>
    <row r="472" spans="1:10" x14ac:dyDescent="0.25">
      <c r="A472" s="1">
        <v>479</v>
      </c>
      <c r="B472" s="2">
        <v>42548.368750000001</v>
      </c>
      <c r="C472" s="2" t="str">
        <f t="shared" si="9"/>
        <v>06</v>
      </c>
      <c r="D472" s="2">
        <v>42548.375</v>
      </c>
      <c r="E472" s="2" t="str">
        <f t="shared" si="9"/>
        <v>06</v>
      </c>
      <c r="F472" t="s">
        <v>7</v>
      </c>
      <c r="G472" t="s">
        <v>162</v>
      </c>
      <c r="H472" t="s">
        <v>162</v>
      </c>
      <c r="I472">
        <v>2.5</v>
      </c>
    </row>
    <row r="473" spans="1:10" x14ac:dyDescent="0.25">
      <c r="A473" s="1">
        <v>480</v>
      </c>
      <c r="B473" s="2">
        <v>42548.378472222219</v>
      </c>
      <c r="C473" s="2" t="str">
        <f t="shared" si="9"/>
        <v>06</v>
      </c>
      <c r="D473" s="2">
        <v>42548.397916666669</v>
      </c>
      <c r="E473" s="2" t="str">
        <f t="shared" si="9"/>
        <v>06</v>
      </c>
      <c r="F473" t="s">
        <v>7</v>
      </c>
      <c r="G473" t="s">
        <v>162</v>
      </c>
      <c r="H473" t="s">
        <v>162</v>
      </c>
      <c r="I473">
        <v>8.6</v>
      </c>
    </row>
    <row r="474" spans="1:10" x14ac:dyDescent="0.25">
      <c r="A474" s="1">
        <v>481</v>
      </c>
      <c r="B474" s="2">
        <v>42548.404861111107</v>
      </c>
      <c r="C474" s="2" t="str">
        <f t="shared" si="9"/>
        <v>06</v>
      </c>
      <c r="D474" s="2">
        <v>42548.422222222223</v>
      </c>
      <c r="E474" s="2" t="str">
        <f t="shared" si="9"/>
        <v>06</v>
      </c>
      <c r="F474" t="s">
        <v>7</v>
      </c>
      <c r="G474" t="s">
        <v>162</v>
      </c>
      <c r="H474" t="s">
        <v>162</v>
      </c>
      <c r="I474">
        <v>5.2</v>
      </c>
    </row>
    <row r="475" spans="1:10" x14ac:dyDescent="0.25">
      <c r="A475" s="1">
        <v>482</v>
      </c>
      <c r="B475" s="2">
        <v>42548.431944444441</v>
      </c>
      <c r="C475" s="2" t="str">
        <f t="shared" si="9"/>
        <v>06</v>
      </c>
      <c r="D475" s="2">
        <v>42548.443749999999</v>
      </c>
      <c r="E475" s="2" t="str">
        <f t="shared" si="9"/>
        <v>06</v>
      </c>
      <c r="F475" t="s">
        <v>7</v>
      </c>
      <c r="G475" t="s">
        <v>162</v>
      </c>
      <c r="H475" t="s">
        <v>162</v>
      </c>
      <c r="I475">
        <v>7.6</v>
      </c>
    </row>
    <row r="476" spans="1:10" x14ac:dyDescent="0.25">
      <c r="A476" s="1">
        <v>483</v>
      </c>
      <c r="B476" s="2">
        <v>42548.45208333333</v>
      </c>
      <c r="C476" s="2" t="str">
        <f t="shared" si="9"/>
        <v>06</v>
      </c>
      <c r="D476" s="2">
        <v>42548.456944444442</v>
      </c>
      <c r="E476" s="2" t="str">
        <f t="shared" si="9"/>
        <v>06</v>
      </c>
      <c r="F476" t="s">
        <v>7</v>
      </c>
      <c r="G476" t="s">
        <v>162</v>
      </c>
      <c r="H476" t="s">
        <v>162</v>
      </c>
      <c r="I476">
        <v>1.8</v>
      </c>
    </row>
    <row r="477" spans="1:10" x14ac:dyDescent="0.25">
      <c r="A477" s="1">
        <v>484</v>
      </c>
      <c r="B477" s="2">
        <v>42548.462500000001</v>
      </c>
      <c r="C477" s="2" t="str">
        <f t="shared" si="9"/>
        <v>06</v>
      </c>
      <c r="D477" s="2">
        <v>42548.474999999999</v>
      </c>
      <c r="E477" s="2" t="str">
        <f t="shared" si="9"/>
        <v>06</v>
      </c>
      <c r="F477" t="s">
        <v>7</v>
      </c>
      <c r="G477" t="s">
        <v>162</v>
      </c>
      <c r="H477" t="s">
        <v>163</v>
      </c>
      <c r="I477">
        <v>4.7</v>
      </c>
    </row>
    <row r="478" spans="1:10" x14ac:dyDescent="0.25">
      <c r="A478" s="1">
        <v>485</v>
      </c>
      <c r="B478" s="2">
        <v>42548.479166666657</v>
      </c>
      <c r="C478" s="2" t="str">
        <f t="shared" si="9"/>
        <v>06</v>
      </c>
      <c r="D478" s="2">
        <v>42548.487500000003</v>
      </c>
      <c r="E478" s="2" t="str">
        <f t="shared" si="9"/>
        <v>06</v>
      </c>
      <c r="F478" t="s">
        <v>7</v>
      </c>
      <c r="G478" t="s">
        <v>163</v>
      </c>
      <c r="H478" t="s">
        <v>163</v>
      </c>
      <c r="I478">
        <v>2.8</v>
      </c>
    </row>
    <row r="479" spans="1:10" x14ac:dyDescent="0.25">
      <c r="A479" s="1">
        <v>486</v>
      </c>
      <c r="B479" s="2">
        <v>42548.515277777777</v>
      </c>
      <c r="C479" s="2" t="str">
        <f t="shared" si="9"/>
        <v>06</v>
      </c>
      <c r="D479" s="2">
        <v>42548.543055555558</v>
      </c>
      <c r="E479" s="2" t="str">
        <f t="shared" si="9"/>
        <v>06</v>
      </c>
      <c r="F479" t="s">
        <v>7</v>
      </c>
      <c r="G479" t="s">
        <v>163</v>
      </c>
      <c r="H479" t="s">
        <v>156</v>
      </c>
      <c r="I479">
        <v>30</v>
      </c>
    </row>
    <row r="480" spans="1:10" x14ac:dyDescent="0.25">
      <c r="A480" s="1">
        <v>487</v>
      </c>
      <c r="B480" s="2">
        <v>42548.580555555563</v>
      </c>
      <c r="C480" s="2" t="str">
        <f t="shared" si="9"/>
        <v>06</v>
      </c>
      <c r="D480" s="2">
        <v>42548.586805555547</v>
      </c>
      <c r="E480" s="2" t="str">
        <f t="shared" si="9"/>
        <v>06</v>
      </c>
      <c r="F480" t="s">
        <v>7</v>
      </c>
      <c r="G480" t="s">
        <v>156</v>
      </c>
      <c r="H480" t="s">
        <v>149</v>
      </c>
      <c r="I480">
        <v>4.4000000000000004</v>
      </c>
    </row>
    <row r="481" spans="1:10" x14ac:dyDescent="0.25">
      <c r="A481" s="1">
        <v>488</v>
      </c>
      <c r="B481" s="2">
        <v>42548.881249999999</v>
      </c>
      <c r="C481" s="2" t="str">
        <f t="shared" si="9"/>
        <v>06</v>
      </c>
      <c r="D481" s="2">
        <v>42548.888194444437</v>
      </c>
      <c r="E481" s="2" t="str">
        <f t="shared" si="9"/>
        <v>06</v>
      </c>
      <c r="F481" t="s">
        <v>7</v>
      </c>
      <c r="G481" t="s">
        <v>35</v>
      </c>
      <c r="H481" t="s">
        <v>35</v>
      </c>
      <c r="I481">
        <v>1</v>
      </c>
    </row>
    <row r="482" spans="1:10" x14ac:dyDescent="0.25">
      <c r="A482" s="1">
        <v>489</v>
      </c>
      <c r="B482" s="2">
        <v>42549.033333333333</v>
      </c>
      <c r="C482" s="2" t="str">
        <f t="shared" si="9"/>
        <v>06</v>
      </c>
      <c r="D482" s="2">
        <v>42549.045138888891</v>
      </c>
      <c r="E482" s="2" t="str">
        <f t="shared" si="9"/>
        <v>06</v>
      </c>
      <c r="F482" t="s">
        <v>7</v>
      </c>
      <c r="G482" t="s">
        <v>16</v>
      </c>
      <c r="H482" t="s">
        <v>15</v>
      </c>
      <c r="I482">
        <v>8.1999999999999993</v>
      </c>
      <c r="J482" t="s">
        <v>13</v>
      </c>
    </row>
    <row r="483" spans="1:10" x14ac:dyDescent="0.25">
      <c r="A483" s="1">
        <v>490</v>
      </c>
      <c r="B483" s="2">
        <v>42549.842361111107</v>
      </c>
      <c r="C483" s="2" t="str">
        <f t="shared" si="9"/>
        <v>06</v>
      </c>
      <c r="D483" s="2">
        <v>42549.856249999997</v>
      </c>
      <c r="E483" s="2" t="str">
        <f t="shared" si="9"/>
        <v>06</v>
      </c>
      <c r="F483" t="s">
        <v>7</v>
      </c>
      <c r="G483" t="s">
        <v>15</v>
      </c>
      <c r="H483" t="s">
        <v>36</v>
      </c>
      <c r="I483">
        <v>10.4</v>
      </c>
      <c r="J483" t="s">
        <v>11</v>
      </c>
    </row>
    <row r="484" spans="1:10" x14ac:dyDescent="0.25">
      <c r="A484" s="1">
        <v>491</v>
      </c>
      <c r="B484" s="2">
        <v>42549.981944444437</v>
      </c>
      <c r="C484" s="2" t="str">
        <f t="shared" si="9"/>
        <v>06</v>
      </c>
      <c r="D484" s="2">
        <v>42549.999305555553</v>
      </c>
      <c r="E484" s="2" t="str">
        <f t="shared" si="9"/>
        <v>06</v>
      </c>
      <c r="F484" t="s">
        <v>7</v>
      </c>
      <c r="G484" t="s">
        <v>36</v>
      </c>
      <c r="H484" t="s">
        <v>15</v>
      </c>
      <c r="I484">
        <v>9.9</v>
      </c>
      <c r="J484" t="s">
        <v>11</v>
      </c>
    </row>
    <row r="485" spans="1:10" x14ac:dyDescent="0.25">
      <c r="A485" s="1">
        <v>492</v>
      </c>
      <c r="B485" s="2">
        <v>42549.981944444437</v>
      </c>
      <c r="C485" s="2" t="str">
        <f t="shared" si="9"/>
        <v>06</v>
      </c>
      <c r="D485" s="2">
        <v>42549.999305555553</v>
      </c>
      <c r="E485" s="2" t="str">
        <f t="shared" si="9"/>
        <v>06</v>
      </c>
      <c r="F485" t="s">
        <v>7</v>
      </c>
      <c r="G485" t="s">
        <v>36</v>
      </c>
      <c r="H485" t="s">
        <v>15</v>
      </c>
      <c r="I485">
        <v>9.9</v>
      </c>
      <c r="J485" t="s">
        <v>11</v>
      </c>
    </row>
    <row r="486" spans="1:10" x14ac:dyDescent="0.25">
      <c r="A486" s="1">
        <v>493</v>
      </c>
      <c r="B486" s="2">
        <v>42550.37222222222</v>
      </c>
      <c r="C486" s="2" t="str">
        <f t="shared" si="9"/>
        <v>06</v>
      </c>
      <c r="D486" s="2">
        <v>42550.39166666667</v>
      </c>
      <c r="E486" s="2" t="str">
        <f t="shared" si="9"/>
        <v>06</v>
      </c>
      <c r="F486" t="s">
        <v>7</v>
      </c>
      <c r="G486" t="s">
        <v>15</v>
      </c>
      <c r="H486" t="s">
        <v>16</v>
      </c>
      <c r="I486">
        <v>7.3</v>
      </c>
    </row>
    <row r="487" spans="1:10" x14ac:dyDescent="0.25">
      <c r="A487" s="1">
        <v>494</v>
      </c>
      <c r="B487" s="2">
        <v>42550.431944444441</v>
      </c>
      <c r="C487" s="2" t="str">
        <f t="shared" si="9"/>
        <v>06</v>
      </c>
      <c r="D487" s="2">
        <v>42550.443055555559</v>
      </c>
      <c r="E487" s="2" t="str">
        <f t="shared" si="9"/>
        <v>06</v>
      </c>
      <c r="F487" t="s">
        <v>7</v>
      </c>
      <c r="G487" t="s">
        <v>16</v>
      </c>
      <c r="H487" t="s">
        <v>15</v>
      </c>
      <c r="I487">
        <v>7.4</v>
      </c>
    </row>
    <row r="488" spans="1:10" x14ac:dyDescent="0.25">
      <c r="A488" s="1">
        <v>495</v>
      </c>
      <c r="B488" s="2">
        <v>42550.492361111108</v>
      </c>
      <c r="C488" s="2" t="str">
        <f t="shared" si="9"/>
        <v>06</v>
      </c>
      <c r="D488" s="2">
        <v>42550.493750000001</v>
      </c>
      <c r="E488" s="2" t="str">
        <f t="shared" si="9"/>
        <v>06</v>
      </c>
      <c r="F488" t="s">
        <v>7</v>
      </c>
      <c r="G488" t="s">
        <v>38</v>
      </c>
      <c r="H488" t="s">
        <v>44</v>
      </c>
      <c r="I488">
        <v>1.6</v>
      </c>
    </row>
    <row r="489" spans="1:10" x14ac:dyDescent="0.25">
      <c r="A489" s="1">
        <v>496</v>
      </c>
      <c r="B489" s="2">
        <v>42550.507638888892</v>
      </c>
      <c r="C489" s="2" t="str">
        <f t="shared" si="9"/>
        <v>06</v>
      </c>
      <c r="D489" s="2">
        <v>42550.511111111111</v>
      </c>
      <c r="E489" s="2" t="str">
        <f t="shared" si="9"/>
        <v>06</v>
      </c>
      <c r="F489" t="s">
        <v>7</v>
      </c>
      <c r="G489" t="s">
        <v>44</v>
      </c>
      <c r="H489" t="s">
        <v>38</v>
      </c>
      <c r="I489">
        <v>1.8</v>
      </c>
    </row>
    <row r="490" spans="1:10" x14ac:dyDescent="0.25">
      <c r="A490" s="1">
        <v>497</v>
      </c>
      <c r="B490" s="2">
        <v>42550.84097222222</v>
      </c>
      <c r="C490" s="2" t="str">
        <f t="shared" si="9"/>
        <v>06</v>
      </c>
      <c r="D490" s="2">
        <v>42550.853472222218</v>
      </c>
      <c r="E490" s="2" t="str">
        <f t="shared" si="9"/>
        <v>06</v>
      </c>
      <c r="F490" t="s">
        <v>7</v>
      </c>
      <c r="G490" t="s">
        <v>15</v>
      </c>
      <c r="H490" t="s">
        <v>36</v>
      </c>
      <c r="I490">
        <v>10.4</v>
      </c>
      <c r="J490" t="s">
        <v>11</v>
      </c>
    </row>
    <row r="491" spans="1:10" x14ac:dyDescent="0.25">
      <c r="A491" s="1">
        <v>498</v>
      </c>
      <c r="B491" s="2">
        <v>42550.984722222223</v>
      </c>
      <c r="C491" s="2" t="str">
        <f t="shared" si="9"/>
        <v>06</v>
      </c>
      <c r="D491" s="2">
        <v>42551</v>
      </c>
      <c r="E491" s="2" t="str">
        <f t="shared" si="9"/>
        <v>06</v>
      </c>
      <c r="F491" t="s">
        <v>7</v>
      </c>
      <c r="G491" t="s">
        <v>36</v>
      </c>
      <c r="H491" t="s">
        <v>15</v>
      </c>
      <c r="I491">
        <v>9.9</v>
      </c>
      <c r="J491" t="s">
        <v>11</v>
      </c>
    </row>
    <row r="492" spans="1:10" x14ac:dyDescent="0.25">
      <c r="A492" s="1">
        <v>499</v>
      </c>
      <c r="B492" s="2">
        <v>42551.839583333327</v>
      </c>
      <c r="C492" s="2" t="str">
        <f t="shared" si="9"/>
        <v>06</v>
      </c>
      <c r="D492" s="2">
        <v>42551.851388888892</v>
      </c>
      <c r="E492" s="2" t="str">
        <f t="shared" si="9"/>
        <v>06</v>
      </c>
      <c r="F492" t="s">
        <v>7</v>
      </c>
      <c r="G492" t="s">
        <v>15</v>
      </c>
      <c r="H492" t="s">
        <v>36</v>
      </c>
      <c r="I492">
        <v>9.9</v>
      </c>
      <c r="J492" t="s">
        <v>11</v>
      </c>
    </row>
    <row r="493" spans="1:10" x14ac:dyDescent="0.25">
      <c r="A493" s="1">
        <v>500</v>
      </c>
      <c r="B493" s="2">
        <v>42552</v>
      </c>
      <c r="C493" s="2" t="str">
        <f t="shared" si="9"/>
        <v>07</v>
      </c>
      <c r="D493" s="2">
        <v>42552.017361111109</v>
      </c>
      <c r="E493" s="2" t="str">
        <f t="shared" si="9"/>
        <v>07</v>
      </c>
      <c r="F493" t="s">
        <v>7</v>
      </c>
      <c r="G493" t="s">
        <v>36</v>
      </c>
      <c r="H493" t="s">
        <v>15</v>
      </c>
      <c r="I493">
        <v>9.9</v>
      </c>
      <c r="J493" t="s">
        <v>11</v>
      </c>
    </row>
    <row r="494" spans="1:10" x14ac:dyDescent="0.25">
      <c r="A494" s="1">
        <v>501</v>
      </c>
      <c r="B494" s="2">
        <v>42552.398611111108</v>
      </c>
      <c r="C494" s="2" t="str">
        <f t="shared" si="9"/>
        <v>07</v>
      </c>
      <c r="D494" s="2">
        <v>42552.414583333331</v>
      </c>
      <c r="E494" s="2" t="str">
        <f t="shared" si="9"/>
        <v>07</v>
      </c>
      <c r="F494" t="s">
        <v>7</v>
      </c>
      <c r="G494" t="s">
        <v>15</v>
      </c>
      <c r="H494" t="s">
        <v>40</v>
      </c>
      <c r="I494">
        <v>13.3</v>
      </c>
      <c r="J494" t="s">
        <v>11</v>
      </c>
    </row>
    <row r="495" spans="1:10" x14ac:dyDescent="0.25">
      <c r="A495" s="1">
        <v>502</v>
      </c>
      <c r="B495" s="2">
        <v>42552.525000000001</v>
      </c>
      <c r="C495" s="2" t="str">
        <f t="shared" si="9"/>
        <v>07</v>
      </c>
      <c r="D495" s="2">
        <v>42552.541666666657</v>
      </c>
      <c r="E495" s="2" t="str">
        <f t="shared" si="9"/>
        <v>07</v>
      </c>
      <c r="F495" t="s">
        <v>7</v>
      </c>
      <c r="G495" t="s">
        <v>40</v>
      </c>
      <c r="H495" t="s">
        <v>15</v>
      </c>
      <c r="I495">
        <v>11.3</v>
      </c>
      <c r="J495" t="s">
        <v>11</v>
      </c>
    </row>
    <row r="496" spans="1:10" x14ac:dyDescent="0.25">
      <c r="A496" s="1">
        <v>503</v>
      </c>
      <c r="B496" s="2">
        <v>42552.837500000001</v>
      </c>
      <c r="C496" s="2" t="str">
        <f t="shared" si="9"/>
        <v>07</v>
      </c>
      <c r="D496" s="2">
        <v>42552.85</v>
      </c>
      <c r="E496" s="2" t="str">
        <f t="shared" si="9"/>
        <v>07</v>
      </c>
      <c r="F496" t="s">
        <v>7</v>
      </c>
      <c r="G496" t="s">
        <v>15</v>
      </c>
      <c r="H496" t="s">
        <v>36</v>
      </c>
      <c r="I496">
        <v>10.5</v>
      </c>
      <c r="J496" t="s">
        <v>11</v>
      </c>
    </row>
    <row r="497" spans="1:10" x14ac:dyDescent="0.25">
      <c r="A497" s="1">
        <v>504</v>
      </c>
      <c r="B497" s="2">
        <v>42552.991666666669</v>
      </c>
      <c r="C497" s="2" t="str">
        <f t="shared" si="9"/>
        <v>07</v>
      </c>
      <c r="D497" s="2">
        <v>42553.006249999999</v>
      </c>
      <c r="E497" s="2" t="str">
        <f t="shared" si="9"/>
        <v>07</v>
      </c>
      <c r="F497" t="s">
        <v>7</v>
      </c>
      <c r="G497" t="s">
        <v>36</v>
      </c>
      <c r="H497" t="s">
        <v>15</v>
      </c>
      <c r="I497">
        <v>9.9</v>
      </c>
      <c r="J497" t="s">
        <v>11</v>
      </c>
    </row>
    <row r="498" spans="1:10" x14ac:dyDescent="0.25">
      <c r="A498" s="1">
        <v>505</v>
      </c>
      <c r="B498" s="2">
        <v>42553.845833333333</v>
      </c>
      <c r="C498" s="2" t="str">
        <f t="shared" si="9"/>
        <v>07</v>
      </c>
      <c r="D498" s="2">
        <v>42553.85833333333</v>
      </c>
      <c r="E498" s="2" t="str">
        <f t="shared" si="9"/>
        <v>07</v>
      </c>
      <c r="F498" t="s">
        <v>7</v>
      </c>
      <c r="G498" t="s">
        <v>15</v>
      </c>
      <c r="H498" t="s">
        <v>36</v>
      </c>
      <c r="I498">
        <v>10.1</v>
      </c>
      <c r="J498" t="s">
        <v>11</v>
      </c>
    </row>
    <row r="499" spans="1:10" x14ac:dyDescent="0.25">
      <c r="A499" s="1">
        <v>506</v>
      </c>
      <c r="B499" s="2">
        <v>42553.991666666669</v>
      </c>
      <c r="C499" s="2" t="str">
        <f t="shared" si="9"/>
        <v>07</v>
      </c>
      <c r="D499" s="2">
        <v>42554.008333333331</v>
      </c>
      <c r="E499" s="2" t="str">
        <f t="shared" si="9"/>
        <v>07</v>
      </c>
      <c r="F499" t="s">
        <v>7</v>
      </c>
      <c r="G499" t="s">
        <v>36</v>
      </c>
      <c r="H499" t="s">
        <v>15</v>
      </c>
      <c r="I499">
        <v>9.9</v>
      </c>
      <c r="J499" t="s">
        <v>11</v>
      </c>
    </row>
    <row r="500" spans="1:10" x14ac:dyDescent="0.25">
      <c r="A500" s="1">
        <v>507</v>
      </c>
      <c r="B500" s="2">
        <v>42554.019444444442</v>
      </c>
      <c r="C500" s="2" t="str">
        <f t="shared" si="9"/>
        <v>07</v>
      </c>
      <c r="D500" s="2">
        <v>42554.026388888888</v>
      </c>
      <c r="E500" s="2" t="str">
        <f t="shared" si="9"/>
        <v>07</v>
      </c>
      <c r="F500" t="s">
        <v>7</v>
      </c>
      <c r="G500" t="s">
        <v>15</v>
      </c>
      <c r="H500" t="s">
        <v>16</v>
      </c>
      <c r="I500">
        <v>3.1</v>
      </c>
      <c r="J500" t="s">
        <v>10</v>
      </c>
    </row>
    <row r="501" spans="1:10" x14ac:dyDescent="0.25">
      <c r="A501" s="1">
        <v>508</v>
      </c>
      <c r="B501" s="2">
        <v>42554.126388888893</v>
      </c>
      <c r="C501" s="2" t="str">
        <f t="shared" si="9"/>
        <v>07</v>
      </c>
      <c r="D501" s="2">
        <v>42554.130555555559</v>
      </c>
      <c r="E501" s="2" t="str">
        <f t="shared" si="9"/>
        <v>07</v>
      </c>
      <c r="F501" t="s">
        <v>7</v>
      </c>
      <c r="G501" t="s">
        <v>16</v>
      </c>
      <c r="H501" t="s">
        <v>15</v>
      </c>
      <c r="I501">
        <v>3.1</v>
      </c>
      <c r="J501" t="s">
        <v>10</v>
      </c>
    </row>
    <row r="502" spans="1:10" x14ac:dyDescent="0.25">
      <c r="A502" s="1">
        <v>509</v>
      </c>
      <c r="B502" s="2">
        <v>42554.833333333343</v>
      </c>
      <c r="C502" s="2" t="str">
        <f t="shared" si="9"/>
        <v>07</v>
      </c>
      <c r="D502" s="2">
        <v>42554.845833333333</v>
      </c>
      <c r="E502" s="2" t="str">
        <f t="shared" si="9"/>
        <v>07</v>
      </c>
      <c r="F502" t="s">
        <v>7</v>
      </c>
      <c r="G502" t="s">
        <v>15</v>
      </c>
      <c r="H502" t="s">
        <v>36</v>
      </c>
      <c r="I502">
        <v>9.9</v>
      </c>
      <c r="J502" t="s">
        <v>11</v>
      </c>
    </row>
    <row r="503" spans="1:10" x14ac:dyDescent="0.25">
      <c r="A503" s="1">
        <v>510</v>
      </c>
      <c r="B503" s="2">
        <v>42555.022222222222</v>
      </c>
      <c r="C503" s="2" t="str">
        <f t="shared" si="9"/>
        <v>07</v>
      </c>
      <c r="D503" s="2">
        <v>42555.032638888893</v>
      </c>
      <c r="E503" s="2" t="str">
        <f t="shared" si="9"/>
        <v>07</v>
      </c>
      <c r="F503" t="s">
        <v>7</v>
      </c>
      <c r="G503" t="s">
        <v>36</v>
      </c>
      <c r="H503" t="s">
        <v>15</v>
      </c>
      <c r="I503">
        <v>9.9</v>
      </c>
      <c r="J503" t="s">
        <v>11</v>
      </c>
    </row>
    <row r="504" spans="1:10" x14ac:dyDescent="0.25">
      <c r="A504" s="1">
        <v>511</v>
      </c>
      <c r="B504" s="2">
        <v>42555.729861111111</v>
      </c>
      <c r="C504" s="2" t="str">
        <f t="shared" si="9"/>
        <v>07</v>
      </c>
      <c r="D504" s="2">
        <v>42555.742361111108</v>
      </c>
      <c r="E504" s="2" t="str">
        <f t="shared" si="9"/>
        <v>07</v>
      </c>
      <c r="F504" t="s">
        <v>7</v>
      </c>
      <c r="G504" t="s">
        <v>38</v>
      </c>
      <c r="H504" t="s">
        <v>164</v>
      </c>
      <c r="I504">
        <v>8.8000000000000007</v>
      </c>
      <c r="J504" t="s">
        <v>11</v>
      </c>
    </row>
    <row r="505" spans="1:10" x14ac:dyDescent="0.25">
      <c r="A505" s="1">
        <v>512</v>
      </c>
      <c r="B505" s="2">
        <v>42555.765972222223</v>
      </c>
      <c r="C505" s="2" t="str">
        <f t="shared" si="9"/>
        <v>07</v>
      </c>
      <c r="D505" s="2">
        <v>42555.78402777778</v>
      </c>
      <c r="E505" s="2" t="str">
        <f t="shared" si="9"/>
        <v>07</v>
      </c>
      <c r="F505" t="s">
        <v>7</v>
      </c>
      <c r="G505" t="s">
        <v>164</v>
      </c>
      <c r="H505" t="s">
        <v>38</v>
      </c>
      <c r="I505">
        <v>8.6999999999999993</v>
      </c>
      <c r="J505" t="s">
        <v>24</v>
      </c>
    </row>
    <row r="506" spans="1:10" x14ac:dyDescent="0.25">
      <c r="A506" s="1">
        <v>513</v>
      </c>
      <c r="B506" s="2">
        <v>42555.833333333343</v>
      </c>
      <c r="C506" s="2" t="str">
        <f t="shared" si="9"/>
        <v>07</v>
      </c>
      <c r="D506" s="2">
        <v>42555.845138888893</v>
      </c>
      <c r="E506" s="2" t="str">
        <f t="shared" si="9"/>
        <v>07</v>
      </c>
      <c r="F506" t="s">
        <v>7</v>
      </c>
      <c r="G506" t="s">
        <v>15</v>
      </c>
      <c r="H506" t="s">
        <v>36</v>
      </c>
      <c r="I506">
        <v>11.8</v>
      </c>
      <c r="J506" t="s">
        <v>11</v>
      </c>
    </row>
    <row r="507" spans="1:10" x14ac:dyDescent="0.25">
      <c r="A507" s="1">
        <v>514</v>
      </c>
      <c r="B507" s="2">
        <v>42556</v>
      </c>
      <c r="C507" s="2" t="str">
        <f t="shared" si="9"/>
        <v>07</v>
      </c>
      <c r="D507" s="2">
        <v>42556.003472222219</v>
      </c>
      <c r="E507" s="2" t="str">
        <f t="shared" si="9"/>
        <v>07</v>
      </c>
      <c r="F507" t="s">
        <v>7</v>
      </c>
      <c r="G507" t="s">
        <v>165</v>
      </c>
      <c r="H507" t="s">
        <v>165</v>
      </c>
      <c r="I507">
        <v>1.2</v>
      </c>
      <c r="J507" t="s">
        <v>10</v>
      </c>
    </row>
    <row r="508" spans="1:10" x14ac:dyDescent="0.25">
      <c r="A508" s="1">
        <v>515</v>
      </c>
      <c r="B508" s="2">
        <v>42556.005555555559</v>
      </c>
      <c r="C508" s="2" t="str">
        <f t="shared" si="9"/>
        <v>07</v>
      </c>
      <c r="D508" s="2">
        <v>42556.019444444442</v>
      </c>
      <c r="E508" s="2" t="str">
        <f t="shared" si="9"/>
        <v>07</v>
      </c>
      <c r="F508" t="s">
        <v>7</v>
      </c>
      <c r="G508" t="s">
        <v>36</v>
      </c>
      <c r="H508" t="s">
        <v>15</v>
      </c>
      <c r="I508">
        <v>9.9</v>
      </c>
      <c r="J508" t="s">
        <v>11</v>
      </c>
    </row>
    <row r="509" spans="1:10" x14ac:dyDescent="0.25">
      <c r="A509" s="1">
        <v>516</v>
      </c>
      <c r="B509" s="2">
        <v>42556.7</v>
      </c>
      <c r="C509" s="2" t="str">
        <f t="shared" si="9"/>
        <v>07</v>
      </c>
      <c r="D509" s="2">
        <v>42556.702777777777</v>
      </c>
      <c r="E509" s="2" t="str">
        <f t="shared" si="9"/>
        <v>07</v>
      </c>
      <c r="F509" t="s">
        <v>7</v>
      </c>
      <c r="G509" t="s">
        <v>38</v>
      </c>
      <c r="H509" t="s">
        <v>38</v>
      </c>
      <c r="I509">
        <v>0.6</v>
      </c>
      <c r="J509" t="s">
        <v>10</v>
      </c>
    </row>
    <row r="510" spans="1:10" x14ac:dyDescent="0.25">
      <c r="A510" s="1">
        <v>517</v>
      </c>
      <c r="B510" s="2">
        <v>42556.837500000001</v>
      </c>
      <c r="C510" s="2" t="str">
        <f t="shared" si="9"/>
        <v>07</v>
      </c>
      <c r="D510" s="2">
        <v>42556.851388888892</v>
      </c>
      <c r="E510" s="2" t="str">
        <f t="shared" si="9"/>
        <v>07</v>
      </c>
      <c r="F510" t="s">
        <v>7</v>
      </c>
      <c r="G510" t="s">
        <v>15</v>
      </c>
      <c r="H510" t="s">
        <v>36</v>
      </c>
      <c r="I510">
        <v>9.9</v>
      </c>
    </row>
    <row r="511" spans="1:10" x14ac:dyDescent="0.25">
      <c r="A511" s="1">
        <v>518</v>
      </c>
      <c r="B511" s="2">
        <v>42556.945138888892</v>
      </c>
      <c r="C511" s="2" t="str">
        <f t="shared" si="9"/>
        <v>07</v>
      </c>
      <c r="D511" s="2">
        <v>42556.959722222222</v>
      </c>
      <c r="E511" s="2" t="str">
        <f t="shared" si="9"/>
        <v>07</v>
      </c>
      <c r="F511" t="s">
        <v>7</v>
      </c>
      <c r="G511" t="s">
        <v>36</v>
      </c>
      <c r="H511" t="s">
        <v>16</v>
      </c>
      <c r="I511">
        <v>8.6</v>
      </c>
    </row>
    <row r="512" spans="1:10" x14ac:dyDescent="0.25">
      <c r="A512" s="1">
        <v>519</v>
      </c>
      <c r="B512" s="2">
        <v>42557.022916666669</v>
      </c>
      <c r="C512" s="2" t="str">
        <f t="shared" si="9"/>
        <v>07</v>
      </c>
      <c r="D512" s="2">
        <v>42557.036805555559</v>
      </c>
      <c r="E512" s="2" t="str">
        <f t="shared" si="9"/>
        <v>07</v>
      </c>
      <c r="F512" t="s">
        <v>7</v>
      </c>
      <c r="G512" t="s">
        <v>16</v>
      </c>
      <c r="H512" t="s">
        <v>15</v>
      </c>
      <c r="I512">
        <v>6.3</v>
      </c>
      <c r="J512" t="s">
        <v>9</v>
      </c>
    </row>
    <row r="513" spans="1:10" x14ac:dyDescent="0.25">
      <c r="A513" s="1">
        <v>520</v>
      </c>
      <c r="B513" s="2">
        <v>42557.379166666673</v>
      </c>
      <c r="C513" s="2" t="str">
        <f t="shared" si="9"/>
        <v>07</v>
      </c>
      <c r="D513" s="2">
        <v>42557.392361111109</v>
      </c>
      <c r="E513" s="2" t="str">
        <f t="shared" si="9"/>
        <v>07</v>
      </c>
      <c r="F513" t="s">
        <v>7</v>
      </c>
      <c r="G513" t="s">
        <v>15</v>
      </c>
      <c r="H513" t="s">
        <v>36</v>
      </c>
      <c r="I513">
        <v>9.9</v>
      </c>
      <c r="J513" t="s">
        <v>11</v>
      </c>
    </row>
    <row r="514" spans="1:10" x14ac:dyDescent="0.25">
      <c r="A514" s="1">
        <v>521</v>
      </c>
      <c r="B514" s="2">
        <v>42557.533333333333</v>
      </c>
      <c r="C514" s="2" t="str">
        <f t="shared" si="9"/>
        <v>07</v>
      </c>
      <c r="D514" s="2">
        <v>42557.547222222223</v>
      </c>
      <c r="E514" s="2" t="str">
        <f t="shared" si="9"/>
        <v>07</v>
      </c>
      <c r="F514" t="s">
        <v>7</v>
      </c>
      <c r="G514" t="s">
        <v>36</v>
      </c>
      <c r="H514" t="s">
        <v>15</v>
      </c>
      <c r="I514">
        <v>9.9</v>
      </c>
    </row>
    <row r="515" spans="1:10" x14ac:dyDescent="0.25">
      <c r="A515" s="1">
        <v>522</v>
      </c>
      <c r="B515" s="2">
        <v>42557.836111111108</v>
      </c>
      <c r="C515" s="2" t="str">
        <f t="shared" ref="C515:E578" si="10" xml:space="preserve"> TEXT(B515, "mm")</f>
        <v>07</v>
      </c>
      <c r="D515" s="2">
        <v>42557.843055555553</v>
      </c>
      <c r="E515" s="2" t="str">
        <f t="shared" si="10"/>
        <v>07</v>
      </c>
      <c r="F515" t="s">
        <v>7</v>
      </c>
      <c r="G515" t="s">
        <v>15</v>
      </c>
      <c r="H515" t="s">
        <v>16</v>
      </c>
      <c r="I515">
        <v>3.3</v>
      </c>
      <c r="J515" t="s">
        <v>9</v>
      </c>
    </row>
    <row r="516" spans="1:10" x14ac:dyDescent="0.25">
      <c r="A516" s="1">
        <v>523</v>
      </c>
      <c r="B516" s="2">
        <v>42557.990277777782</v>
      </c>
      <c r="C516" s="2" t="str">
        <f t="shared" si="10"/>
        <v>07</v>
      </c>
      <c r="D516" s="2">
        <v>42557.999305555553</v>
      </c>
      <c r="E516" s="2" t="str">
        <f t="shared" si="10"/>
        <v>07</v>
      </c>
      <c r="F516" t="s">
        <v>7</v>
      </c>
      <c r="G516" t="s">
        <v>16</v>
      </c>
      <c r="H516" t="s">
        <v>15</v>
      </c>
      <c r="I516">
        <v>3.1</v>
      </c>
      <c r="J516" t="s">
        <v>13</v>
      </c>
    </row>
    <row r="517" spans="1:10" x14ac:dyDescent="0.25">
      <c r="A517" s="1">
        <v>524</v>
      </c>
      <c r="B517" s="2">
        <v>42558.348611111112</v>
      </c>
      <c r="C517" s="2" t="str">
        <f t="shared" si="10"/>
        <v>07</v>
      </c>
      <c r="D517" s="2">
        <v>42558.368055555547</v>
      </c>
      <c r="E517" s="2" t="str">
        <f t="shared" si="10"/>
        <v>07</v>
      </c>
      <c r="F517" t="s">
        <v>7</v>
      </c>
      <c r="G517" t="s">
        <v>15</v>
      </c>
      <c r="H517" t="s">
        <v>16</v>
      </c>
      <c r="I517">
        <v>7.9</v>
      </c>
      <c r="J517" t="s">
        <v>24</v>
      </c>
    </row>
    <row r="518" spans="1:10" x14ac:dyDescent="0.25">
      <c r="A518" s="1">
        <v>525</v>
      </c>
      <c r="B518" s="2">
        <v>42558.435416666667</v>
      </c>
      <c r="C518" s="2" t="str">
        <f t="shared" si="10"/>
        <v>07</v>
      </c>
      <c r="D518" s="2">
        <v>42558.439583333333</v>
      </c>
      <c r="E518" s="2" t="str">
        <f t="shared" si="10"/>
        <v>07</v>
      </c>
      <c r="F518" t="s">
        <v>7</v>
      </c>
      <c r="G518" t="s">
        <v>16</v>
      </c>
      <c r="H518" t="s">
        <v>15</v>
      </c>
      <c r="I518">
        <v>8.9</v>
      </c>
    </row>
    <row r="519" spans="1:10" x14ac:dyDescent="0.25">
      <c r="A519" s="1">
        <v>526</v>
      </c>
      <c r="B519" s="2">
        <v>42558.540972222218</v>
      </c>
      <c r="C519" s="2" t="str">
        <f t="shared" si="10"/>
        <v>07</v>
      </c>
      <c r="D519" s="2">
        <v>42558.565972222219</v>
      </c>
      <c r="E519" s="2" t="str">
        <f t="shared" si="10"/>
        <v>07</v>
      </c>
      <c r="F519" t="s">
        <v>7</v>
      </c>
      <c r="G519" t="s">
        <v>149</v>
      </c>
      <c r="H519" t="s">
        <v>150</v>
      </c>
      <c r="I519">
        <v>12.8</v>
      </c>
    </row>
    <row r="520" spans="1:10" x14ac:dyDescent="0.25">
      <c r="A520" s="1">
        <v>527</v>
      </c>
      <c r="B520" s="2">
        <v>42559.409722222219</v>
      </c>
      <c r="C520" s="2" t="str">
        <f t="shared" si="10"/>
        <v>07</v>
      </c>
      <c r="D520" s="2">
        <v>42559.425694444442</v>
      </c>
      <c r="E520" s="2" t="str">
        <f t="shared" si="10"/>
        <v>07</v>
      </c>
      <c r="F520" t="s">
        <v>7</v>
      </c>
      <c r="G520" t="s">
        <v>151</v>
      </c>
      <c r="H520" t="s">
        <v>166</v>
      </c>
      <c r="I520">
        <v>7.7</v>
      </c>
    </row>
    <row r="521" spans="1:10" x14ac:dyDescent="0.25">
      <c r="A521" s="1">
        <v>528</v>
      </c>
      <c r="B521" s="2">
        <v>42559.45208333333</v>
      </c>
      <c r="C521" s="2" t="str">
        <f t="shared" si="10"/>
        <v>07</v>
      </c>
      <c r="D521" s="2">
        <v>42559.466666666667</v>
      </c>
      <c r="E521" s="2" t="str">
        <f t="shared" si="10"/>
        <v>07</v>
      </c>
      <c r="F521" t="s">
        <v>7</v>
      </c>
      <c r="G521" t="s">
        <v>166</v>
      </c>
      <c r="H521" t="s">
        <v>151</v>
      </c>
      <c r="I521">
        <v>7</v>
      </c>
    </row>
    <row r="522" spans="1:10" x14ac:dyDescent="0.25">
      <c r="A522" s="1">
        <v>529</v>
      </c>
      <c r="B522" s="2">
        <v>42559.574999999997</v>
      </c>
      <c r="C522" s="2" t="str">
        <f t="shared" si="10"/>
        <v>07</v>
      </c>
      <c r="D522" s="2">
        <v>42559.59097222222</v>
      </c>
      <c r="E522" s="2" t="str">
        <f t="shared" si="10"/>
        <v>07</v>
      </c>
      <c r="F522" t="s">
        <v>7</v>
      </c>
      <c r="G522" t="s">
        <v>150</v>
      </c>
      <c r="H522" t="s">
        <v>156</v>
      </c>
      <c r="I522">
        <v>12.5</v>
      </c>
    </row>
    <row r="523" spans="1:10" x14ac:dyDescent="0.25">
      <c r="A523" s="1">
        <v>530</v>
      </c>
      <c r="B523" s="2">
        <v>42559.71597222222</v>
      </c>
      <c r="C523" s="2" t="str">
        <f t="shared" si="10"/>
        <v>07</v>
      </c>
      <c r="D523" s="2">
        <v>42559.729166666657</v>
      </c>
      <c r="E523" s="2" t="str">
        <f t="shared" si="10"/>
        <v>07</v>
      </c>
      <c r="F523" t="s">
        <v>7</v>
      </c>
      <c r="G523" t="s">
        <v>149</v>
      </c>
      <c r="H523" t="s">
        <v>150</v>
      </c>
      <c r="I523">
        <v>13.2</v>
      </c>
    </row>
    <row r="524" spans="1:10" x14ac:dyDescent="0.25">
      <c r="A524" s="1">
        <v>531</v>
      </c>
      <c r="B524" s="2">
        <v>42560.377083333333</v>
      </c>
      <c r="C524" s="2" t="str">
        <f t="shared" si="10"/>
        <v>07</v>
      </c>
      <c r="D524" s="2">
        <v>42560.406944444447</v>
      </c>
      <c r="E524" s="2" t="str">
        <f t="shared" si="10"/>
        <v>07</v>
      </c>
      <c r="F524" t="s">
        <v>7</v>
      </c>
      <c r="G524" t="s">
        <v>150</v>
      </c>
      <c r="H524" t="s">
        <v>149</v>
      </c>
      <c r="I524">
        <v>13</v>
      </c>
    </row>
    <row r="525" spans="1:10" x14ac:dyDescent="0.25">
      <c r="A525" s="1">
        <v>532</v>
      </c>
      <c r="B525" s="2">
        <v>42560.411111111112</v>
      </c>
      <c r="C525" s="2" t="str">
        <f t="shared" si="10"/>
        <v>07</v>
      </c>
      <c r="D525" s="2">
        <v>42560.42083333333</v>
      </c>
      <c r="E525" s="2" t="str">
        <f t="shared" si="10"/>
        <v>07</v>
      </c>
      <c r="F525" t="s">
        <v>7</v>
      </c>
      <c r="G525" t="s">
        <v>149</v>
      </c>
      <c r="H525" t="s">
        <v>156</v>
      </c>
      <c r="I525">
        <v>4.9000000000000004</v>
      </c>
    </row>
    <row r="526" spans="1:10" x14ac:dyDescent="0.25">
      <c r="A526" s="1">
        <v>533</v>
      </c>
      <c r="B526" s="2">
        <v>42560.427083333343</v>
      </c>
      <c r="C526" s="2" t="str">
        <f t="shared" si="10"/>
        <v>07</v>
      </c>
      <c r="D526" s="2">
        <v>42560.439583333333</v>
      </c>
      <c r="E526" s="2" t="str">
        <f t="shared" si="10"/>
        <v>07</v>
      </c>
      <c r="F526" t="s">
        <v>7</v>
      </c>
      <c r="G526" t="s">
        <v>156</v>
      </c>
      <c r="H526" t="s">
        <v>150</v>
      </c>
      <c r="I526">
        <v>8.5</v>
      </c>
    </row>
    <row r="527" spans="1:10" x14ac:dyDescent="0.25">
      <c r="A527" s="1">
        <v>534</v>
      </c>
      <c r="B527" s="2">
        <v>42561.590277777781</v>
      </c>
      <c r="C527" s="2" t="str">
        <f t="shared" si="10"/>
        <v>07</v>
      </c>
      <c r="D527" s="2">
        <v>42561.595138888893</v>
      </c>
      <c r="E527" s="2" t="str">
        <f t="shared" si="10"/>
        <v>07</v>
      </c>
      <c r="F527" t="s">
        <v>7</v>
      </c>
      <c r="G527" t="s">
        <v>151</v>
      </c>
      <c r="H527" t="s">
        <v>167</v>
      </c>
      <c r="I527">
        <v>1.3</v>
      </c>
    </row>
    <row r="528" spans="1:10" x14ac:dyDescent="0.25">
      <c r="A528" s="1">
        <v>535</v>
      </c>
      <c r="B528" s="2">
        <v>42561.669444444437</v>
      </c>
      <c r="C528" s="2" t="str">
        <f t="shared" si="10"/>
        <v>07</v>
      </c>
      <c r="D528" s="2">
        <v>42561.677083333343</v>
      </c>
      <c r="E528" s="2" t="str">
        <f t="shared" si="10"/>
        <v>07</v>
      </c>
      <c r="F528" t="s">
        <v>7</v>
      </c>
      <c r="G528" t="s">
        <v>167</v>
      </c>
      <c r="H528" t="s">
        <v>151</v>
      </c>
      <c r="I528">
        <v>1.8</v>
      </c>
    </row>
    <row r="529" spans="1:10" x14ac:dyDescent="0.25">
      <c r="A529" s="1">
        <v>536</v>
      </c>
      <c r="B529" s="2">
        <v>42561.753472222219</v>
      </c>
      <c r="C529" s="2" t="str">
        <f t="shared" si="10"/>
        <v>07</v>
      </c>
      <c r="D529" s="2">
        <v>42561.76458333333</v>
      </c>
      <c r="E529" s="2" t="str">
        <f t="shared" si="10"/>
        <v>07</v>
      </c>
      <c r="F529" t="s">
        <v>7</v>
      </c>
      <c r="G529" t="s">
        <v>150</v>
      </c>
      <c r="H529" t="s">
        <v>149</v>
      </c>
      <c r="I529">
        <v>13.6</v>
      </c>
    </row>
    <row r="530" spans="1:10" x14ac:dyDescent="0.25">
      <c r="A530" s="1">
        <v>537</v>
      </c>
      <c r="B530" s="2">
        <v>42561.82708333333</v>
      </c>
      <c r="C530" s="2" t="str">
        <f t="shared" si="10"/>
        <v>07</v>
      </c>
      <c r="D530" s="2">
        <v>42561.838888888888</v>
      </c>
      <c r="E530" s="2" t="str">
        <f t="shared" si="10"/>
        <v>07</v>
      </c>
      <c r="F530" t="s">
        <v>7</v>
      </c>
      <c r="G530" t="s">
        <v>149</v>
      </c>
      <c r="H530" t="s">
        <v>150</v>
      </c>
      <c r="I530">
        <v>13.4</v>
      </c>
    </row>
    <row r="531" spans="1:10" x14ac:dyDescent="0.25">
      <c r="A531" s="1">
        <v>538</v>
      </c>
      <c r="B531" s="2">
        <v>42563.673611111109</v>
      </c>
      <c r="C531" s="2" t="str">
        <f t="shared" si="10"/>
        <v>07</v>
      </c>
      <c r="D531" s="2">
        <v>42563.697916666657</v>
      </c>
      <c r="E531" s="2" t="str">
        <f t="shared" si="10"/>
        <v>07</v>
      </c>
      <c r="F531" t="s">
        <v>7</v>
      </c>
      <c r="G531" t="s">
        <v>150</v>
      </c>
      <c r="H531" t="s">
        <v>149</v>
      </c>
      <c r="I531">
        <v>12.3</v>
      </c>
    </row>
    <row r="532" spans="1:10" x14ac:dyDescent="0.25">
      <c r="A532" s="1">
        <v>539</v>
      </c>
      <c r="B532" s="2">
        <v>42563.806250000001</v>
      </c>
      <c r="C532" s="2" t="str">
        <f t="shared" si="10"/>
        <v>07</v>
      </c>
      <c r="D532" s="2">
        <v>42563.80972222222</v>
      </c>
      <c r="E532" s="2" t="str">
        <f t="shared" si="10"/>
        <v>07</v>
      </c>
      <c r="F532" t="s">
        <v>55</v>
      </c>
      <c r="G532" t="s">
        <v>149</v>
      </c>
      <c r="H532" t="s">
        <v>149</v>
      </c>
      <c r="I532">
        <v>1.4</v>
      </c>
    </row>
    <row r="533" spans="1:10" x14ac:dyDescent="0.25">
      <c r="A533" s="1">
        <v>540</v>
      </c>
      <c r="B533" s="2">
        <v>42563.990972222222</v>
      </c>
      <c r="C533" s="2" t="str">
        <f t="shared" si="10"/>
        <v>07</v>
      </c>
      <c r="D533" s="2">
        <v>42564.007638888892</v>
      </c>
      <c r="E533" s="2" t="str">
        <f t="shared" si="10"/>
        <v>07</v>
      </c>
      <c r="F533" t="s">
        <v>55</v>
      </c>
      <c r="G533" t="s">
        <v>16</v>
      </c>
      <c r="H533" t="s">
        <v>15</v>
      </c>
      <c r="I533">
        <v>8.6999999999999993</v>
      </c>
    </row>
    <row r="534" spans="1:10" x14ac:dyDescent="0.25">
      <c r="A534" s="1">
        <v>541</v>
      </c>
      <c r="B534" s="2">
        <v>42564.527083333327</v>
      </c>
      <c r="C534" s="2" t="str">
        <f t="shared" si="10"/>
        <v>07</v>
      </c>
      <c r="D534" s="2">
        <v>42564.555555555547</v>
      </c>
      <c r="E534" s="2" t="str">
        <f t="shared" si="10"/>
        <v>07</v>
      </c>
      <c r="F534" t="s">
        <v>55</v>
      </c>
      <c r="G534" t="s">
        <v>15</v>
      </c>
      <c r="H534" t="s">
        <v>16</v>
      </c>
      <c r="I534">
        <v>23.5</v>
      </c>
    </row>
    <row r="535" spans="1:10" x14ac:dyDescent="0.25">
      <c r="A535" s="1">
        <v>542</v>
      </c>
      <c r="B535" s="2">
        <v>42564.559027777781</v>
      </c>
      <c r="C535" s="2" t="str">
        <f t="shared" si="10"/>
        <v>07</v>
      </c>
      <c r="D535" s="2">
        <v>42564.568749999999</v>
      </c>
      <c r="E535" s="2" t="str">
        <f t="shared" si="10"/>
        <v>07</v>
      </c>
      <c r="F535" t="s">
        <v>55</v>
      </c>
      <c r="G535" t="s">
        <v>16</v>
      </c>
      <c r="H535" t="s">
        <v>16</v>
      </c>
      <c r="I535">
        <v>2.2000000000000002</v>
      </c>
    </row>
    <row r="536" spans="1:10" x14ac:dyDescent="0.25">
      <c r="A536" s="1">
        <v>543</v>
      </c>
      <c r="B536" s="2">
        <v>42564.570833333331</v>
      </c>
      <c r="C536" s="2" t="str">
        <f t="shared" si="10"/>
        <v>07</v>
      </c>
      <c r="D536" s="2">
        <v>42564.57916666667</v>
      </c>
      <c r="E536" s="2" t="str">
        <f t="shared" si="10"/>
        <v>07</v>
      </c>
      <c r="F536" t="s">
        <v>55</v>
      </c>
      <c r="G536" t="s">
        <v>16</v>
      </c>
      <c r="H536" t="s">
        <v>15</v>
      </c>
      <c r="I536">
        <v>4.4000000000000004</v>
      </c>
    </row>
    <row r="537" spans="1:10" x14ac:dyDescent="0.25">
      <c r="A537" s="1">
        <v>544</v>
      </c>
      <c r="B537" s="2">
        <v>42565.660416666673</v>
      </c>
      <c r="C537" s="2" t="str">
        <f t="shared" si="10"/>
        <v>07</v>
      </c>
      <c r="D537" s="2">
        <v>42565.665972222218</v>
      </c>
      <c r="E537" s="2" t="str">
        <f t="shared" si="10"/>
        <v>07</v>
      </c>
      <c r="F537" t="s">
        <v>55</v>
      </c>
      <c r="G537" t="s">
        <v>15</v>
      </c>
      <c r="H537" t="s">
        <v>16</v>
      </c>
      <c r="I537">
        <v>3.3</v>
      </c>
    </row>
    <row r="538" spans="1:10" x14ac:dyDescent="0.25">
      <c r="A538" s="1">
        <v>545</v>
      </c>
      <c r="B538" s="2">
        <v>42565.668749999997</v>
      </c>
      <c r="C538" s="2" t="str">
        <f t="shared" si="10"/>
        <v>07</v>
      </c>
      <c r="D538" s="2">
        <v>42565.69027777778</v>
      </c>
      <c r="E538" s="2" t="str">
        <f t="shared" si="10"/>
        <v>07</v>
      </c>
      <c r="F538" t="s">
        <v>7</v>
      </c>
      <c r="G538" t="s">
        <v>16</v>
      </c>
      <c r="H538" t="s">
        <v>16</v>
      </c>
      <c r="I538">
        <v>11.8</v>
      </c>
      <c r="J538" t="s">
        <v>10</v>
      </c>
    </row>
    <row r="539" spans="1:10" x14ac:dyDescent="0.25">
      <c r="A539" s="1">
        <v>546</v>
      </c>
      <c r="B539" s="2">
        <v>42565.693749999999</v>
      </c>
      <c r="C539" s="2" t="str">
        <f t="shared" si="10"/>
        <v>07</v>
      </c>
      <c r="D539" s="2">
        <v>42565.836805555547</v>
      </c>
      <c r="E539" s="2" t="str">
        <f t="shared" si="10"/>
        <v>07</v>
      </c>
      <c r="F539" t="s">
        <v>7</v>
      </c>
      <c r="G539" t="s">
        <v>16</v>
      </c>
      <c r="H539" t="s">
        <v>168</v>
      </c>
      <c r="I539">
        <v>195.3</v>
      </c>
    </row>
    <row r="540" spans="1:10" x14ac:dyDescent="0.25">
      <c r="A540" s="1">
        <v>547</v>
      </c>
      <c r="B540" s="2">
        <v>42566.480555555558</v>
      </c>
      <c r="C540" s="2" t="str">
        <f t="shared" si="10"/>
        <v>07</v>
      </c>
      <c r="D540" s="2">
        <v>42566.495138888888</v>
      </c>
      <c r="E540" s="2" t="str">
        <f t="shared" si="10"/>
        <v>07</v>
      </c>
      <c r="F540" t="s">
        <v>55</v>
      </c>
      <c r="G540" t="s">
        <v>168</v>
      </c>
      <c r="H540" t="s">
        <v>168</v>
      </c>
      <c r="I540">
        <v>8.3000000000000007</v>
      </c>
    </row>
    <row r="541" spans="1:10" x14ac:dyDescent="0.25">
      <c r="A541" s="1">
        <v>548</v>
      </c>
      <c r="B541" s="2">
        <v>42566.506249999999</v>
      </c>
      <c r="C541" s="2" t="str">
        <f t="shared" si="10"/>
        <v>07</v>
      </c>
      <c r="D541" s="2">
        <v>42566.513194444437</v>
      </c>
      <c r="E541" s="2" t="str">
        <f t="shared" si="10"/>
        <v>07</v>
      </c>
      <c r="F541" t="s">
        <v>55</v>
      </c>
      <c r="G541" t="s">
        <v>168</v>
      </c>
      <c r="H541" t="s">
        <v>168</v>
      </c>
      <c r="I541">
        <v>3.2</v>
      </c>
    </row>
    <row r="542" spans="1:10" x14ac:dyDescent="0.25">
      <c r="A542" s="1">
        <v>549</v>
      </c>
      <c r="B542" s="2">
        <v>42566.524305555547</v>
      </c>
      <c r="C542" s="2" t="str">
        <f t="shared" si="10"/>
        <v>07</v>
      </c>
      <c r="D542" s="2">
        <v>42566.552083333343</v>
      </c>
      <c r="E542" s="2" t="str">
        <f t="shared" si="10"/>
        <v>07</v>
      </c>
      <c r="F542" t="s">
        <v>55</v>
      </c>
      <c r="G542" t="s">
        <v>168</v>
      </c>
      <c r="H542" t="s">
        <v>169</v>
      </c>
      <c r="I542">
        <v>22.4</v>
      </c>
    </row>
    <row r="543" spans="1:10" x14ac:dyDescent="0.25">
      <c r="A543" s="1">
        <v>550</v>
      </c>
      <c r="B543" s="2">
        <v>42566.627083333333</v>
      </c>
      <c r="C543" s="2" t="str">
        <f t="shared" si="10"/>
        <v>07</v>
      </c>
      <c r="D543" s="2">
        <v>42566.647916666669</v>
      </c>
      <c r="E543" s="2" t="str">
        <f t="shared" si="10"/>
        <v>07</v>
      </c>
      <c r="F543" t="s">
        <v>55</v>
      </c>
      <c r="G543" t="s">
        <v>169</v>
      </c>
      <c r="H543" t="s">
        <v>168</v>
      </c>
      <c r="I543">
        <v>12.2</v>
      </c>
    </row>
    <row r="544" spans="1:10" x14ac:dyDescent="0.25">
      <c r="A544" s="1">
        <v>551</v>
      </c>
      <c r="B544" s="2">
        <v>42566.652777777781</v>
      </c>
      <c r="C544" s="2" t="str">
        <f t="shared" si="10"/>
        <v>07</v>
      </c>
      <c r="D544" s="2">
        <v>42566.661111111112</v>
      </c>
      <c r="E544" s="2" t="str">
        <f t="shared" si="10"/>
        <v>07</v>
      </c>
      <c r="F544" t="s">
        <v>55</v>
      </c>
      <c r="G544" t="s">
        <v>168</v>
      </c>
      <c r="H544" t="s">
        <v>168</v>
      </c>
      <c r="I544">
        <v>4.5</v>
      </c>
    </row>
    <row r="545" spans="1:10" x14ac:dyDescent="0.25">
      <c r="A545" s="1">
        <v>552</v>
      </c>
      <c r="B545" s="2">
        <v>42567.551388888889</v>
      </c>
      <c r="C545" s="2" t="str">
        <f t="shared" si="10"/>
        <v>07</v>
      </c>
      <c r="D545" s="2">
        <v>42567.590277777781</v>
      </c>
      <c r="E545" s="2" t="str">
        <f t="shared" si="10"/>
        <v>07</v>
      </c>
      <c r="F545" t="s">
        <v>55</v>
      </c>
      <c r="G545" t="s">
        <v>168</v>
      </c>
      <c r="H545" t="s">
        <v>170</v>
      </c>
      <c r="I545">
        <v>28.1</v>
      </c>
    </row>
    <row r="546" spans="1:10" x14ac:dyDescent="0.25">
      <c r="A546" s="1">
        <v>553</v>
      </c>
      <c r="B546" s="2">
        <v>42567.593055555553</v>
      </c>
      <c r="C546" s="2" t="str">
        <f t="shared" si="10"/>
        <v>07</v>
      </c>
      <c r="D546" s="2">
        <v>42567.604166666657</v>
      </c>
      <c r="E546" s="2" t="str">
        <f t="shared" si="10"/>
        <v>07</v>
      </c>
      <c r="F546" t="s">
        <v>55</v>
      </c>
      <c r="G546" t="s">
        <v>170</v>
      </c>
      <c r="H546" t="s">
        <v>170</v>
      </c>
      <c r="I546">
        <v>3.8</v>
      </c>
    </row>
    <row r="547" spans="1:10" x14ac:dyDescent="0.25">
      <c r="A547" s="1">
        <v>554</v>
      </c>
      <c r="B547" s="2">
        <v>42567.645138888889</v>
      </c>
      <c r="C547" s="2" t="str">
        <f t="shared" si="10"/>
        <v>07</v>
      </c>
      <c r="D547" s="2">
        <v>42567.706250000003</v>
      </c>
      <c r="E547" s="2" t="str">
        <f t="shared" si="10"/>
        <v>07</v>
      </c>
      <c r="F547" t="s">
        <v>55</v>
      </c>
      <c r="G547" t="s">
        <v>170</v>
      </c>
      <c r="H547" t="s">
        <v>171</v>
      </c>
      <c r="I547">
        <v>41.9</v>
      </c>
    </row>
    <row r="548" spans="1:10" x14ac:dyDescent="0.25">
      <c r="A548" s="1">
        <v>555</v>
      </c>
      <c r="B548" s="2">
        <v>42567.820833333331</v>
      </c>
      <c r="C548" s="2" t="str">
        <f t="shared" si="10"/>
        <v>07</v>
      </c>
      <c r="D548" s="2">
        <v>42567.857638888891</v>
      </c>
      <c r="E548" s="2" t="str">
        <f t="shared" si="10"/>
        <v>07</v>
      </c>
      <c r="F548" t="s">
        <v>55</v>
      </c>
      <c r="G548" t="s">
        <v>171</v>
      </c>
      <c r="H548" t="s">
        <v>168</v>
      </c>
      <c r="I548">
        <v>23.8</v>
      </c>
    </row>
    <row r="549" spans="1:10" x14ac:dyDescent="0.25">
      <c r="A549" s="1">
        <v>556</v>
      </c>
      <c r="B549" s="2">
        <v>42567.90625</v>
      </c>
      <c r="C549" s="2" t="str">
        <f t="shared" si="10"/>
        <v>07</v>
      </c>
      <c r="D549" s="2">
        <v>42567.929166666669</v>
      </c>
      <c r="E549" s="2" t="str">
        <f t="shared" si="10"/>
        <v>07</v>
      </c>
      <c r="F549" t="s">
        <v>55</v>
      </c>
      <c r="G549" t="s">
        <v>168</v>
      </c>
      <c r="H549" t="s">
        <v>168</v>
      </c>
      <c r="I549">
        <v>13</v>
      </c>
    </row>
    <row r="550" spans="1:10" x14ac:dyDescent="0.25">
      <c r="A550" s="1">
        <v>557</v>
      </c>
      <c r="B550" s="2">
        <v>42567.951388888891</v>
      </c>
      <c r="C550" s="2" t="str">
        <f t="shared" si="10"/>
        <v>07</v>
      </c>
      <c r="D550" s="2">
        <v>42567.960416666669</v>
      </c>
      <c r="E550" s="2" t="str">
        <f t="shared" si="10"/>
        <v>07</v>
      </c>
      <c r="F550" t="s">
        <v>7</v>
      </c>
      <c r="G550" t="s">
        <v>168</v>
      </c>
      <c r="H550" t="s">
        <v>168</v>
      </c>
      <c r="I550">
        <v>4.4000000000000004</v>
      </c>
      <c r="J550" t="s">
        <v>10</v>
      </c>
    </row>
    <row r="551" spans="1:10" x14ac:dyDescent="0.25">
      <c r="A551" s="1">
        <v>558</v>
      </c>
      <c r="B551" s="2">
        <v>42568.474305555559</v>
      </c>
      <c r="C551" s="2" t="str">
        <f t="shared" si="10"/>
        <v>07</v>
      </c>
      <c r="D551" s="2">
        <v>42568.493055555547</v>
      </c>
      <c r="E551" s="2" t="str">
        <f t="shared" si="10"/>
        <v>07</v>
      </c>
      <c r="F551" t="s">
        <v>55</v>
      </c>
      <c r="G551" t="s">
        <v>168</v>
      </c>
      <c r="H551" t="s">
        <v>171</v>
      </c>
      <c r="I551">
        <v>15.1</v>
      </c>
      <c r="J551" t="s">
        <v>172</v>
      </c>
    </row>
    <row r="552" spans="1:10" x14ac:dyDescent="0.25">
      <c r="A552" s="1">
        <v>559</v>
      </c>
      <c r="B552" s="2">
        <v>42568.513888888891</v>
      </c>
      <c r="C552" s="2" t="str">
        <f t="shared" si="10"/>
        <v>07</v>
      </c>
      <c r="D552" s="2">
        <v>42568.642361111109</v>
      </c>
      <c r="E552" s="2" t="str">
        <f t="shared" si="10"/>
        <v>07</v>
      </c>
      <c r="F552" t="s">
        <v>55</v>
      </c>
      <c r="G552" t="s">
        <v>171</v>
      </c>
      <c r="H552" t="s">
        <v>15</v>
      </c>
      <c r="I552">
        <v>180.2</v>
      </c>
      <c r="J552" t="s">
        <v>173</v>
      </c>
    </row>
    <row r="553" spans="1:10" x14ac:dyDescent="0.25">
      <c r="A553" s="1">
        <v>560</v>
      </c>
      <c r="B553" s="2">
        <v>42569.442361111112</v>
      </c>
      <c r="C553" s="2" t="str">
        <f t="shared" si="10"/>
        <v>07</v>
      </c>
      <c r="D553" s="2">
        <v>42569.450694444437</v>
      </c>
      <c r="E553" s="2" t="str">
        <f t="shared" si="10"/>
        <v>07</v>
      </c>
      <c r="F553" t="s">
        <v>55</v>
      </c>
      <c r="G553" t="s">
        <v>15</v>
      </c>
      <c r="H553" t="s">
        <v>16</v>
      </c>
      <c r="I553">
        <v>4.0999999999999996</v>
      </c>
      <c r="J553" t="s">
        <v>174</v>
      </c>
    </row>
    <row r="554" spans="1:10" x14ac:dyDescent="0.25">
      <c r="A554" s="1">
        <v>561</v>
      </c>
      <c r="B554" s="2">
        <v>42569.45416666667</v>
      </c>
      <c r="C554" s="2" t="str">
        <f t="shared" si="10"/>
        <v>07</v>
      </c>
      <c r="D554" s="2">
        <v>42569.46875</v>
      </c>
      <c r="E554" s="2" t="str">
        <f t="shared" si="10"/>
        <v>07</v>
      </c>
      <c r="F554" t="s">
        <v>55</v>
      </c>
      <c r="G554" t="s">
        <v>16</v>
      </c>
      <c r="H554" t="s">
        <v>15</v>
      </c>
      <c r="I554">
        <v>6.1</v>
      </c>
      <c r="J554" t="s">
        <v>174</v>
      </c>
    </row>
    <row r="555" spans="1:10" x14ac:dyDescent="0.25">
      <c r="A555" s="1">
        <v>562</v>
      </c>
      <c r="B555" s="2">
        <v>42569.475694444453</v>
      </c>
      <c r="C555" s="2" t="str">
        <f t="shared" si="10"/>
        <v>07</v>
      </c>
      <c r="D555" s="2">
        <v>42569.48333333333</v>
      </c>
      <c r="E555" s="2" t="str">
        <f t="shared" si="10"/>
        <v>07</v>
      </c>
      <c r="F555" t="s">
        <v>55</v>
      </c>
      <c r="G555" t="s">
        <v>50</v>
      </c>
      <c r="H555" t="s">
        <v>57</v>
      </c>
      <c r="I555">
        <v>3.3</v>
      </c>
      <c r="J555" t="s">
        <v>174</v>
      </c>
    </row>
    <row r="556" spans="1:10" x14ac:dyDescent="0.25">
      <c r="A556" s="1">
        <v>563</v>
      </c>
      <c r="B556" s="2">
        <v>42569.486111111109</v>
      </c>
      <c r="C556" s="2" t="str">
        <f t="shared" si="10"/>
        <v>07</v>
      </c>
      <c r="D556" s="2">
        <v>42569.49722222222</v>
      </c>
      <c r="E556" s="2" t="str">
        <f t="shared" si="10"/>
        <v>07</v>
      </c>
      <c r="F556" t="s">
        <v>55</v>
      </c>
      <c r="G556" t="s">
        <v>57</v>
      </c>
      <c r="H556" t="s">
        <v>38</v>
      </c>
      <c r="I556">
        <v>4.7</v>
      </c>
      <c r="J556" t="s">
        <v>174</v>
      </c>
    </row>
    <row r="557" spans="1:10" x14ac:dyDescent="0.25">
      <c r="A557" s="1">
        <v>564</v>
      </c>
      <c r="B557" s="2">
        <v>42569.716666666667</v>
      </c>
      <c r="C557" s="2" t="str">
        <f t="shared" si="10"/>
        <v>07</v>
      </c>
      <c r="D557" s="2">
        <v>42569.731249999997</v>
      </c>
      <c r="E557" s="2" t="str">
        <f t="shared" si="10"/>
        <v>07</v>
      </c>
      <c r="F557" t="s">
        <v>7</v>
      </c>
      <c r="G557" t="s">
        <v>15</v>
      </c>
      <c r="H557" t="s">
        <v>48</v>
      </c>
      <c r="I557">
        <v>7.2</v>
      </c>
      <c r="J557" t="s">
        <v>11</v>
      </c>
    </row>
    <row r="558" spans="1:10" x14ac:dyDescent="0.25">
      <c r="A558" s="1">
        <v>565</v>
      </c>
      <c r="B558" s="2">
        <v>42569.772222222222</v>
      </c>
      <c r="C558" s="2" t="str">
        <f t="shared" si="10"/>
        <v>07</v>
      </c>
      <c r="D558" s="2">
        <v>42569.782638888893</v>
      </c>
      <c r="E558" s="2" t="str">
        <f t="shared" si="10"/>
        <v>07</v>
      </c>
      <c r="F558" t="s">
        <v>7</v>
      </c>
      <c r="G558" t="s">
        <v>48</v>
      </c>
      <c r="H558" t="s">
        <v>15</v>
      </c>
      <c r="I558">
        <v>5.5</v>
      </c>
      <c r="J558" t="s">
        <v>9</v>
      </c>
    </row>
    <row r="559" spans="1:10" x14ac:dyDescent="0.25">
      <c r="A559" s="1">
        <v>566</v>
      </c>
      <c r="B559" s="2">
        <v>42569.796527777777</v>
      </c>
      <c r="C559" s="2" t="str">
        <f t="shared" si="10"/>
        <v>07</v>
      </c>
      <c r="D559" s="2">
        <v>42569.801388888889</v>
      </c>
      <c r="E559" s="2" t="str">
        <f t="shared" si="10"/>
        <v>07</v>
      </c>
      <c r="F559" t="s">
        <v>7</v>
      </c>
      <c r="G559" t="s">
        <v>15</v>
      </c>
      <c r="H559" t="s">
        <v>16</v>
      </c>
      <c r="I559">
        <v>3.3</v>
      </c>
      <c r="J559" t="s">
        <v>9</v>
      </c>
    </row>
    <row r="560" spans="1:10" x14ac:dyDescent="0.25">
      <c r="A560" s="1">
        <v>567</v>
      </c>
      <c r="B560" s="2">
        <v>42569.852777777778</v>
      </c>
      <c r="C560" s="2" t="str">
        <f t="shared" si="10"/>
        <v>07</v>
      </c>
      <c r="D560" s="2">
        <v>42569.855555555558</v>
      </c>
      <c r="E560" s="2" t="str">
        <f t="shared" si="10"/>
        <v>07</v>
      </c>
      <c r="F560" t="s">
        <v>7</v>
      </c>
      <c r="G560" t="s">
        <v>43</v>
      </c>
      <c r="H560" t="s">
        <v>75</v>
      </c>
      <c r="I560">
        <v>0.9</v>
      </c>
      <c r="J560" t="s">
        <v>10</v>
      </c>
    </row>
    <row r="561" spans="1:10" x14ac:dyDescent="0.25">
      <c r="A561" s="1">
        <v>568</v>
      </c>
      <c r="B561" s="2">
        <v>42569.882638888892</v>
      </c>
      <c r="C561" s="2" t="str">
        <f t="shared" si="10"/>
        <v>07</v>
      </c>
      <c r="D561" s="2">
        <v>42569.888194444437</v>
      </c>
      <c r="E561" s="2" t="str">
        <f t="shared" si="10"/>
        <v>07</v>
      </c>
      <c r="F561" t="s">
        <v>7</v>
      </c>
      <c r="G561" t="s">
        <v>16</v>
      </c>
      <c r="H561" t="s">
        <v>15</v>
      </c>
      <c r="I561">
        <v>3.8</v>
      </c>
      <c r="J561" t="s">
        <v>9</v>
      </c>
    </row>
    <row r="562" spans="1:10" x14ac:dyDescent="0.25">
      <c r="A562" s="1">
        <v>569</v>
      </c>
      <c r="B562" s="2">
        <v>42570.440972222219</v>
      </c>
      <c r="C562" s="2" t="str">
        <f t="shared" si="10"/>
        <v>07</v>
      </c>
      <c r="D562" s="2">
        <v>42570.45208333333</v>
      </c>
      <c r="E562" s="2" t="str">
        <f t="shared" si="10"/>
        <v>07</v>
      </c>
      <c r="F562" t="s">
        <v>7</v>
      </c>
      <c r="G562" t="s">
        <v>38</v>
      </c>
      <c r="H562" t="s">
        <v>175</v>
      </c>
      <c r="I562">
        <v>6.4</v>
      </c>
      <c r="J562" t="s">
        <v>13</v>
      </c>
    </row>
    <row r="563" spans="1:10" x14ac:dyDescent="0.25">
      <c r="A563" s="1">
        <v>570</v>
      </c>
      <c r="B563" s="2">
        <v>42570.455555555563</v>
      </c>
      <c r="C563" s="2" t="str">
        <f t="shared" si="10"/>
        <v>07</v>
      </c>
      <c r="D563" s="2">
        <v>42570.46597222222</v>
      </c>
      <c r="E563" s="2" t="str">
        <f t="shared" si="10"/>
        <v>07</v>
      </c>
      <c r="F563" t="s">
        <v>7</v>
      </c>
      <c r="G563" t="s">
        <v>175</v>
      </c>
      <c r="H563" t="s">
        <v>176</v>
      </c>
      <c r="I563">
        <v>3</v>
      </c>
      <c r="J563" t="s">
        <v>11</v>
      </c>
    </row>
    <row r="564" spans="1:10" x14ac:dyDescent="0.25">
      <c r="A564" s="1">
        <v>571</v>
      </c>
      <c r="B564" s="2">
        <v>42570.479166666657</v>
      </c>
      <c r="C564" s="2" t="str">
        <f t="shared" si="10"/>
        <v>07</v>
      </c>
      <c r="D564" s="2">
        <v>42570.5</v>
      </c>
      <c r="E564" s="2" t="str">
        <f t="shared" si="10"/>
        <v>07</v>
      </c>
      <c r="F564" t="s">
        <v>7</v>
      </c>
      <c r="G564" t="s">
        <v>176</v>
      </c>
      <c r="H564" t="s">
        <v>38</v>
      </c>
      <c r="I564">
        <v>8.6999999999999993</v>
      </c>
      <c r="J564" t="s">
        <v>9</v>
      </c>
    </row>
    <row r="565" spans="1:10" x14ac:dyDescent="0.25">
      <c r="A565" s="1">
        <v>572</v>
      </c>
      <c r="B565" s="2">
        <v>42570.718055555553</v>
      </c>
      <c r="C565" s="2" t="str">
        <f t="shared" si="10"/>
        <v>07</v>
      </c>
      <c r="D565" s="2">
        <v>42570.724999999999</v>
      </c>
      <c r="E565" s="2" t="str">
        <f t="shared" si="10"/>
        <v>07</v>
      </c>
      <c r="F565" t="s">
        <v>7</v>
      </c>
      <c r="G565" t="s">
        <v>38</v>
      </c>
      <c r="H565" t="s">
        <v>114</v>
      </c>
      <c r="I565">
        <v>3.9</v>
      </c>
      <c r="J565" t="s">
        <v>10</v>
      </c>
    </row>
    <row r="566" spans="1:10" x14ac:dyDescent="0.25">
      <c r="A566" s="1">
        <v>573</v>
      </c>
      <c r="B566" s="2">
        <v>42570.743055555547</v>
      </c>
      <c r="C566" s="2" t="str">
        <f t="shared" si="10"/>
        <v>07</v>
      </c>
      <c r="D566" s="2">
        <v>42570.755555555559</v>
      </c>
      <c r="E566" s="2" t="str">
        <f t="shared" si="10"/>
        <v>07</v>
      </c>
      <c r="F566" t="s">
        <v>55</v>
      </c>
      <c r="G566" t="s">
        <v>114</v>
      </c>
      <c r="H566" t="s">
        <v>38</v>
      </c>
      <c r="I566">
        <v>4.8</v>
      </c>
    </row>
    <row r="567" spans="1:10" x14ac:dyDescent="0.25">
      <c r="A567" s="1">
        <v>574</v>
      </c>
      <c r="B567" s="2">
        <v>42571.716666666667</v>
      </c>
      <c r="C567" s="2" t="str">
        <f t="shared" si="10"/>
        <v>07</v>
      </c>
      <c r="D567" s="2">
        <v>42571.724999999999</v>
      </c>
      <c r="E567" s="2" t="str">
        <f t="shared" si="10"/>
        <v>07</v>
      </c>
      <c r="F567" t="s">
        <v>55</v>
      </c>
      <c r="G567" t="s">
        <v>38</v>
      </c>
      <c r="H567" t="s">
        <v>54</v>
      </c>
      <c r="I567">
        <v>2.8</v>
      </c>
    </row>
    <row r="568" spans="1:10" x14ac:dyDescent="0.25">
      <c r="A568" s="1">
        <v>575</v>
      </c>
      <c r="B568" s="2">
        <v>42571.743055555547</v>
      </c>
      <c r="C568" s="2" t="str">
        <f t="shared" si="10"/>
        <v>07</v>
      </c>
      <c r="D568" s="2">
        <v>42571.747916666667</v>
      </c>
      <c r="E568" s="2" t="str">
        <f t="shared" si="10"/>
        <v>07</v>
      </c>
      <c r="F568" t="s">
        <v>55</v>
      </c>
      <c r="G568" t="s">
        <v>54</v>
      </c>
      <c r="H568" t="s">
        <v>57</v>
      </c>
      <c r="I568">
        <v>1.4</v>
      </c>
    </row>
    <row r="569" spans="1:10" x14ac:dyDescent="0.25">
      <c r="A569" s="1">
        <v>576</v>
      </c>
      <c r="B569" s="2">
        <v>42571.761111111111</v>
      </c>
      <c r="C569" s="2" t="str">
        <f t="shared" si="10"/>
        <v>07</v>
      </c>
      <c r="D569" s="2">
        <v>42571.763888888891</v>
      </c>
      <c r="E569" s="2" t="str">
        <f t="shared" si="10"/>
        <v>07</v>
      </c>
      <c r="F569" t="s">
        <v>55</v>
      </c>
      <c r="G569" t="s">
        <v>57</v>
      </c>
      <c r="H569" t="s">
        <v>38</v>
      </c>
      <c r="I569">
        <v>1.4</v>
      </c>
    </row>
    <row r="570" spans="1:10" x14ac:dyDescent="0.25">
      <c r="A570" s="1">
        <v>577</v>
      </c>
      <c r="B570" s="2">
        <v>42572.720138888893</v>
      </c>
      <c r="C570" s="2" t="str">
        <f t="shared" si="10"/>
        <v>07</v>
      </c>
      <c r="D570" s="2">
        <v>42572.724305555559</v>
      </c>
      <c r="E570" s="2" t="str">
        <f t="shared" si="10"/>
        <v>07</v>
      </c>
      <c r="F570" t="s">
        <v>7</v>
      </c>
      <c r="G570" t="s">
        <v>38</v>
      </c>
      <c r="H570" t="s">
        <v>54</v>
      </c>
      <c r="I570">
        <v>2.7</v>
      </c>
    </row>
    <row r="571" spans="1:10" x14ac:dyDescent="0.25">
      <c r="A571" s="1">
        <v>578</v>
      </c>
      <c r="B571" s="2">
        <v>42572.737500000003</v>
      </c>
      <c r="C571" s="2" t="str">
        <f t="shared" si="10"/>
        <v>07</v>
      </c>
      <c r="D571" s="2">
        <v>42572.743750000001</v>
      </c>
      <c r="E571" s="2" t="str">
        <f t="shared" si="10"/>
        <v>07</v>
      </c>
      <c r="F571" t="s">
        <v>7</v>
      </c>
      <c r="G571" t="s">
        <v>54</v>
      </c>
      <c r="H571" t="s">
        <v>115</v>
      </c>
      <c r="I571">
        <v>2.2999999999999998</v>
      </c>
    </row>
    <row r="572" spans="1:10" x14ac:dyDescent="0.25">
      <c r="A572" s="1">
        <v>579</v>
      </c>
      <c r="B572" s="2">
        <v>42572.768750000003</v>
      </c>
      <c r="C572" s="2" t="str">
        <f t="shared" si="10"/>
        <v>07</v>
      </c>
      <c r="D572" s="2">
        <v>42572.779166666667</v>
      </c>
      <c r="E572" s="2" t="str">
        <f t="shared" si="10"/>
        <v>07</v>
      </c>
      <c r="F572" t="s">
        <v>7</v>
      </c>
      <c r="G572" t="s">
        <v>15</v>
      </c>
      <c r="H572" t="s">
        <v>16</v>
      </c>
      <c r="I572">
        <v>3.7</v>
      </c>
    </row>
    <row r="573" spans="1:10" x14ac:dyDescent="0.25">
      <c r="A573" s="1">
        <v>580</v>
      </c>
      <c r="B573" s="2">
        <v>42572.8125</v>
      </c>
      <c r="C573" s="2" t="str">
        <f t="shared" si="10"/>
        <v>07</v>
      </c>
      <c r="D573" s="2">
        <v>42572.818749999999</v>
      </c>
      <c r="E573" s="2" t="str">
        <f t="shared" si="10"/>
        <v>07</v>
      </c>
      <c r="F573" t="s">
        <v>7</v>
      </c>
      <c r="G573" t="s">
        <v>16</v>
      </c>
      <c r="H573" t="s">
        <v>15</v>
      </c>
      <c r="I573">
        <v>2.9</v>
      </c>
    </row>
    <row r="574" spans="1:10" x14ac:dyDescent="0.25">
      <c r="A574" s="1">
        <v>581</v>
      </c>
      <c r="B574" s="2">
        <v>42573.445833333331</v>
      </c>
      <c r="C574" s="2" t="str">
        <f t="shared" si="10"/>
        <v>07</v>
      </c>
      <c r="D574" s="2">
        <v>42573.453472222223</v>
      </c>
      <c r="E574" s="2" t="str">
        <f t="shared" si="10"/>
        <v>07</v>
      </c>
      <c r="F574" t="s">
        <v>7</v>
      </c>
      <c r="G574" t="s">
        <v>15</v>
      </c>
      <c r="H574" t="s">
        <v>16</v>
      </c>
      <c r="I574">
        <v>3.8</v>
      </c>
    </row>
    <row r="575" spans="1:10" x14ac:dyDescent="0.25">
      <c r="A575" s="1">
        <v>582</v>
      </c>
      <c r="B575" s="2">
        <v>42573.46597222222</v>
      </c>
      <c r="C575" s="2" t="str">
        <f t="shared" si="10"/>
        <v>07</v>
      </c>
      <c r="D575" s="2">
        <v>42573.475694444453</v>
      </c>
      <c r="E575" s="2" t="str">
        <f t="shared" si="10"/>
        <v>07</v>
      </c>
      <c r="F575" t="s">
        <v>7</v>
      </c>
      <c r="G575" t="s">
        <v>16</v>
      </c>
      <c r="H575" t="s">
        <v>15</v>
      </c>
      <c r="I575">
        <v>5.0999999999999996</v>
      </c>
    </row>
    <row r="576" spans="1:10" x14ac:dyDescent="0.25">
      <c r="A576" s="1">
        <v>583</v>
      </c>
      <c r="B576" s="2">
        <v>42573.484027777777</v>
      </c>
      <c r="C576" s="2" t="str">
        <f t="shared" si="10"/>
        <v>07</v>
      </c>
      <c r="D576" s="2">
        <v>42573.5</v>
      </c>
      <c r="E576" s="2" t="str">
        <f t="shared" si="10"/>
        <v>07</v>
      </c>
      <c r="F576" t="s">
        <v>7</v>
      </c>
      <c r="G576" t="s">
        <v>43</v>
      </c>
      <c r="H576" t="s">
        <v>176</v>
      </c>
      <c r="I576">
        <v>9.1</v>
      </c>
    </row>
    <row r="577" spans="1:10" x14ac:dyDescent="0.25">
      <c r="A577" s="1">
        <v>584</v>
      </c>
      <c r="B577" s="2">
        <v>42573.509722222218</v>
      </c>
      <c r="C577" s="2" t="str">
        <f t="shared" si="10"/>
        <v>07</v>
      </c>
      <c r="D577" s="2">
        <v>42573.521527777782</v>
      </c>
      <c r="E577" s="2" t="str">
        <f t="shared" si="10"/>
        <v>07</v>
      </c>
      <c r="F577" t="s">
        <v>7</v>
      </c>
      <c r="G577" t="s">
        <v>15</v>
      </c>
      <c r="H577" t="s">
        <v>36</v>
      </c>
      <c r="I577">
        <v>8</v>
      </c>
    </row>
    <row r="578" spans="1:10" x14ac:dyDescent="0.25">
      <c r="A578" s="1">
        <v>585</v>
      </c>
      <c r="B578" s="2">
        <v>42573.556250000001</v>
      </c>
      <c r="C578" s="2" t="str">
        <f t="shared" si="10"/>
        <v>07</v>
      </c>
      <c r="D578" s="2">
        <v>42573.570833333331</v>
      </c>
      <c r="E578" s="2" t="str">
        <f t="shared" si="10"/>
        <v>07</v>
      </c>
      <c r="F578" t="s">
        <v>7</v>
      </c>
      <c r="G578" t="s">
        <v>36</v>
      </c>
      <c r="H578" t="s">
        <v>15</v>
      </c>
      <c r="I578">
        <v>9.9</v>
      </c>
      <c r="J578" t="s">
        <v>11</v>
      </c>
    </row>
    <row r="579" spans="1:10" x14ac:dyDescent="0.25">
      <c r="A579" s="1">
        <v>586</v>
      </c>
      <c r="B579" s="2">
        <v>42573.602083333331</v>
      </c>
      <c r="C579" s="2" t="str">
        <f t="shared" ref="C579:E642" si="11" xml:space="preserve"> TEXT(B579, "mm")</f>
        <v>07</v>
      </c>
      <c r="D579" s="2">
        <v>42573.613194444442</v>
      </c>
      <c r="E579" s="2" t="str">
        <f t="shared" si="11"/>
        <v>07</v>
      </c>
      <c r="F579" t="s">
        <v>7</v>
      </c>
      <c r="G579" t="s">
        <v>15</v>
      </c>
      <c r="H579" t="s">
        <v>16</v>
      </c>
      <c r="I579">
        <v>6.1</v>
      </c>
      <c r="J579" t="s">
        <v>9</v>
      </c>
    </row>
    <row r="580" spans="1:10" x14ac:dyDescent="0.25">
      <c r="A580" s="1">
        <v>587</v>
      </c>
      <c r="B580" s="2">
        <v>42573.65902777778</v>
      </c>
      <c r="C580" s="2" t="str">
        <f t="shared" si="11"/>
        <v>07</v>
      </c>
      <c r="D580" s="2">
        <v>42573.681944444441</v>
      </c>
      <c r="E580" s="2" t="str">
        <f t="shared" si="11"/>
        <v>07</v>
      </c>
      <c r="F580" t="s">
        <v>7</v>
      </c>
      <c r="G580" t="s">
        <v>16</v>
      </c>
      <c r="H580" t="s">
        <v>15</v>
      </c>
      <c r="I580">
        <v>12.2</v>
      </c>
    </row>
    <row r="581" spans="1:10" x14ac:dyDescent="0.25">
      <c r="A581" s="1">
        <v>588</v>
      </c>
      <c r="B581" s="2">
        <v>42573.772916666669</v>
      </c>
      <c r="C581" s="2" t="str">
        <f t="shared" si="11"/>
        <v>07</v>
      </c>
      <c r="D581" s="2">
        <v>42573.785416666673</v>
      </c>
      <c r="E581" s="2" t="str">
        <f t="shared" si="11"/>
        <v>07</v>
      </c>
      <c r="F581" t="s">
        <v>7</v>
      </c>
      <c r="G581" t="s">
        <v>73</v>
      </c>
      <c r="H581" t="s">
        <v>38</v>
      </c>
      <c r="I581">
        <v>8</v>
      </c>
    </row>
    <row r="582" spans="1:10" x14ac:dyDescent="0.25">
      <c r="A582" s="1">
        <v>589</v>
      </c>
      <c r="B582" s="2">
        <v>42574.602083333331</v>
      </c>
      <c r="C582" s="2" t="str">
        <f t="shared" si="11"/>
        <v>07</v>
      </c>
      <c r="D582" s="2">
        <v>42574.613888888889</v>
      </c>
      <c r="E582" s="2" t="str">
        <f t="shared" si="11"/>
        <v>07</v>
      </c>
      <c r="F582" t="s">
        <v>7</v>
      </c>
      <c r="G582" t="s">
        <v>15</v>
      </c>
      <c r="H582" t="s">
        <v>16</v>
      </c>
      <c r="I582">
        <v>4</v>
      </c>
    </row>
    <row r="583" spans="1:10" x14ac:dyDescent="0.25">
      <c r="A583" s="1">
        <v>590</v>
      </c>
      <c r="B583" s="2">
        <v>42574.616666666669</v>
      </c>
      <c r="C583" s="2" t="str">
        <f t="shared" si="11"/>
        <v>07</v>
      </c>
      <c r="D583" s="2">
        <v>42574.633333333331</v>
      </c>
      <c r="E583" s="2" t="str">
        <f t="shared" si="11"/>
        <v>07</v>
      </c>
      <c r="F583" t="s">
        <v>7</v>
      </c>
      <c r="G583" t="s">
        <v>16</v>
      </c>
      <c r="H583" t="s">
        <v>15</v>
      </c>
      <c r="I583">
        <v>9.5</v>
      </c>
    </row>
    <row r="584" spans="1:10" x14ac:dyDescent="0.25">
      <c r="A584" s="1">
        <v>591</v>
      </c>
      <c r="B584" s="2">
        <v>42574.635416666657</v>
      </c>
      <c r="C584" s="2" t="str">
        <f t="shared" si="11"/>
        <v>07</v>
      </c>
      <c r="D584" s="2">
        <v>42574.643750000003</v>
      </c>
      <c r="E584" s="2" t="str">
        <f t="shared" si="11"/>
        <v>07</v>
      </c>
      <c r="F584" t="s">
        <v>7</v>
      </c>
      <c r="G584" t="s">
        <v>15</v>
      </c>
      <c r="H584" t="s">
        <v>16</v>
      </c>
      <c r="I584">
        <v>3</v>
      </c>
    </row>
    <row r="585" spans="1:10" x14ac:dyDescent="0.25">
      <c r="A585" s="1">
        <v>592</v>
      </c>
      <c r="B585" s="2">
        <v>42574.659722222219</v>
      </c>
      <c r="C585" s="2" t="str">
        <f t="shared" si="11"/>
        <v>07</v>
      </c>
      <c r="D585" s="2">
        <v>42574.673611111109</v>
      </c>
      <c r="E585" s="2" t="str">
        <f t="shared" si="11"/>
        <v>07</v>
      </c>
      <c r="F585" t="s">
        <v>7</v>
      </c>
      <c r="G585" t="s">
        <v>16</v>
      </c>
      <c r="H585" t="s">
        <v>15</v>
      </c>
      <c r="I585">
        <v>6.3</v>
      </c>
    </row>
    <row r="586" spans="1:10" x14ac:dyDescent="0.25">
      <c r="A586" s="1">
        <v>593</v>
      </c>
      <c r="B586" s="2">
        <v>42574.845138888893</v>
      </c>
      <c r="C586" s="2" t="str">
        <f t="shared" si="11"/>
        <v>07</v>
      </c>
      <c r="D586" s="2">
        <v>42574.856249999997</v>
      </c>
      <c r="E586" s="2" t="str">
        <f t="shared" si="11"/>
        <v>07</v>
      </c>
      <c r="F586" t="s">
        <v>7</v>
      </c>
      <c r="G586" t="s">
        <v>15</v>
      </c>
      <c r="H586" t="s">
        <v>36</v>
      </c>
      <c r="I586">
        <v>10.4</v>
      </c>
      <c r="J586" t="s">
        <v>11</v>
      </c>
    </row>
    <row r="587" spans="1:10" x14ac:dyDescent="0.25">
      <c r="A587" s="1">
        <v>594</v>
      </c>
      <c r="B587" s="2">
        <v>42574.970833333333</v>
      </c>
      <c r="C587" s="2" t="str">
        <f t="shared" si="11"/>
        <v>07</v>
      </c>
      <c r="D587" s="2">
        <v>42574.988194444442</v>
      </c>
      <c r="E587" s="2" t="str">
        <f t="shared" si="11"/>
        <v>07</v>
      </c>
      <c r="F587" t="s">
        <v>7</v>
      </c>
      <c r="G587" t="s">
        <v>36</v>
      </c>
      <c r="H587" t="s">
        <v>15</v>
      </c>
      <c r="I587">
        <v>9.9</v>
      </c>
      <c r="J587" t="s">
        <v>11</v>
      </c>
    </row>
    <row r="588" spans="1:10" x14ac:dyDescent="0.25">
      <c r="A588" s="1">
        <v>595</v>
      </c>
      <c r="B588" s="2">
        <v>42576.440972222219</v>
      </c>
      <c r="C588" s="2" t="str">
        <f t="shared" si="11"/>
        <v>07</v>
      </c>
      <c r="D588" s="2">
        <v>42576.445138888892</v>
      </c>
      <c r="E588" s="2" t="str">
        <f t="shared" si="11"/>
        <v>07</v>
      </c>
      <c r="F588" t="s">
        <v>7</v>
      </c>
      <c r="G588" t="s">
        <v>38</v>
      </c>
      <c r="H588" t="s">
        <v>116</v>
      </c>
      <c r="I588">
        <v>1.5</v>
      </c>
    </row>
    <row r="589" spans="1:10" x14ac:dyDescent="0.25">
      <c r="A589" s="1">
        <v>596</v>
      </c>
      <c r="B589" s="2">
        <v>42576.449305555558</v>
      </c>
      <c r="C589" s="2" t="str">
        <f t="shared" si="11"/>
        <v>07</v>
      </c>
      <c r="D589" s="2">
        <v>42576.456944444442</v>
      </c>
      <c r="E589" s="2" t="str">
        <f t="shared" si="11"/>
        <v>07</v>
      </c>
      <c r="F589" t="s">
        <v>7</v>
      </c>
      <c r="G589" t="s">
        <v>15</v>
      </c>
      <c r="H589" t="s">
        <v>16</v>
      </c>
      <c r="I589">
        <v>4.9000000000000004</v>
      </c>
    </row>
    <row r="590" spans="1:10" x14ac:dyDescent="0.25">
      <c r="A590" s="1">
        <v>597</v>
      </c>
      <c r="B590" s="2">
        <v>42576.461111111108</v>
      </c>
      <c r="C590" s="2" t="str">
        <f t="shared" si="11"/>
        <v>07</v>
      </c>
      <c r="D590" s="2">
        <v>42576.481249999997</v>
      </c>
      <c r="E590" s="2" t="str">
        <f t="shared" si="11"/>
        <v>07</v>
      </c>
      <c r="F590" t="s">
        <v>7</v>
      </c>
      <c r="G590" t="s">
        <v>16</v>
      </c>
      <c r="H590" t="s">
        <v>15</v>
      </c>
      <c r="I590">
        <v>7.9</v>
      </c>
    </row>
    <row r="591" spans="1:10" x14ac:dyDescent="0.25">
      <c r="A591" s="1">
        <v>598</v>
      </c>
      <c r="B591" s="2">
        <v>42576.484027777777</v>
      </c>
      <c r="C591" s="2" t="str">
        <f t="shared" si="11"/>
        <v>07</v>
      </c>
      <c r="D591" s="2">
        <v>42576.488888888889</v>
      </c>
      <c r="E591" s="2" t="str">
        <f t="shared" si="11"/>
        <v>07</v>
      </c>
      <c r="F591" t="s">
        <v>7</v>
      </c>
      <c r="G591" t="s">
        <v>116</v>
      </c>
      <c r="H591" t="s">
        <v>38</v>
      </c>
      <c r="I591">
        <v>1.7</v>
      </c>
    </row>
    <row r="592" spans="1:10" x14ac:dyDescent="0.25">
      <c r="A592" s="1">
        <v>599</v>
      </c>
      <c r="B592" s="2">
        <v>42577.654861111107</v>
      </c>
      <c r="C592" s="2" t="str">
        <f t="shared" si="11"/>
        <v>07</v>
      </c>
      <c r="D592" s="2">
        <v>42577.65902777778</v>
      </c>
      <c r="E592" s="2" t="str">
        <f t="shared" si="11"/>
        <v>07</v>
      </c>
      <c r="F592" t="s">
        <v>7</v>
      </c>
      <c r="G592" t="s">
        <v>38</v>
      </c>
      <c r="H592" t="s">
        <v>44</v>
      </c>
      <c r="I592">
        <v>2.2000000000000002</v>
      </c>
    </row>
    <row r="593" spans="1:10" x14ac:dyDescent="0.25">
      <c r="A593" s="1">
        <v>600</v>
      </c>
      <c r="B593" s="2">
        <v>42577.718055555553</v>
      </c>
      <c r="C593" s="2" t="str">
        <f t="shared" si="11"/>
        <v>07</v>
      </c>
      <c r="D593" s="2">
        <v>42577.724999999999</v>
      </c>
      <c r="E593" s="2" t="str">
        <f t="shared" si="11"/>
        <v>07</v>
      </c>
      <c r="F593" t="s">
        <v>7</v>
      </c>
      <c r="G593" t="s">
        <v>44</v>
      </c>
      <c r="H593" t="s">
        <v>38</v>
      </c>
      <c r="I593">
        <v>2.1</v>
      </c>
    </row>
    <row r="594" spans="1:10" x14ac:dyDescent="0.25">
      <c r="A594" s="1">
        <v>601</v>
      </c>
      <c r="B594" s="2">
        <v>42577.869444444441</v>
      </c>
      <c r="C594" s="2" t="str">
        <f t="shared" si="11"/>
        <v>07</v>
      </c>
      <c r="D594" s="2">
        <v>42577.875</v>
      </c>
      <c r="E594" s="2" t="str">
        <f t="shared" si="11"/>
        <v>07</v>
      </c>
      <c r="F594" t="s">
        <v>7</v>
      </c>
      <c r="G594" t="s">
        <v>15</v>
      </c>
      <c r="H594" t="s">
        <v>16</v>
      </c>
      <c r="I594">
        <v>2.5</v>
      </c>
      <c r="J594" t="s">
        <v>9</v>
      </c>
    </row>
    <row r="595" spans="1:10" x14ac:dyDescent="0.25">
      <c r="A595" s="1">
        <v>602</v>
      </c>
      <c r="B595" s="2">
        <v>42577.938194444447</v>
      </c>
      <c r="C595" s="2" t="str">
        <f t="shared" si="11"/>
        <v>07</v>
      </c>
      <c r="D595" s="2">
        <v>42577.943749999999</v>
      </c>
      <c r="E595" s="2" t="str">
        <f t="shared" si="11"/>
        <v>07</v>
      </c>
      <c r="F595" t="s">
        <v>7</v>
      </c>
      <c r="G595" t="s">
        <v>16</v>
      </c>
      <c r="H595" t="s">
        <v>15</v>
      </c>
      <c r="I595">
        <v>2.5</v>
      </c>
      <c r="J595" t="s">
        <v>9</v>
      </c>
    </row>
    <row r="596" spans="1:10" x14ac:dyDescent="0.25">
      <c r="A596" s="1">
        <v>603</v>
      </c>
      <c r="B596" s="2">
        <v>42578.797222222223</v>
      </c>
      <c r="C596" s="2" t="str">
        <f t="shared" si="11"/>
        <v>07</v>
      </c>
      <c r="D596" s="2">
        <v>42578.805555555547</v>
      </c>
      <c r="E596" s="2" t="str">
        <f t="shared" si="11"/>
        <v>07</v>
      </c>
      <c r="F596" t="s">
        <v>7</v>
      </c>
      <c r="G596" t="s">
        <v>15</v>
      </c>
      <c r="H596" t="s">
        <v>16</v>
      </c>
      <c r="I596">
        <v>2.8</v>
      </c>
    </row>
    <row r="597" spans="1:10" x14ac:dyDescent="0.25">
      <c r="A597" s="1">
        <v>604</v>
      </c>
      <c r="B597" s="2">
        <v>42578.898611111108</v>
      </c>
      <c r="C597" s="2" t="str">
        <f t="shared" si="11"/>
        <v>07</v>
      </c>
      <c r="D597" s="2">
        <v>42578.914583333331</v>
      </c>
      <c r="E597" s="2" t="str">
        <f t="shared" si="11"/>
        <v>07</v>
      </c>
      <c r="F597" t="s">
        <v>7</v>
      </c>
      <c r="G597" t="s">
        <v>16</v>
      </c>
      <c r="H597" t="s">
        <v>40</v>
      </c>
      <c r="I597">
        <v>14.7</v>
      </c>
    </row>
    <row r="598" spans="1:10" x14ac:dyDescent="0.25">
      <c r="A598" s="1">
        <v>605</v>
      </c>
      <c r="B598" s="2">
        <v>42578.916666666657</v>
      </c>
      <c r="C598" s="2" t="str">
        <f t="shared" si="11"/>
        <v>07</v>
      </c>
      <c r="D598" s="2">
        <v>42578.93472222222</v>
      </c>
      <c r="E598" s="2" t="str">
        <f t="shared" si="11"/>
        <v>07</v>
      </c>
      <c r="F598" t="s">
        <v>7</v>
      </c>
      <c r="G598" t="s">
        <v>40</v>
      </c>
      <c r="H598" t="s">
        <v>16</v>
      </c>
      <c r="I598">
        <v>14.6</v>
      </c>
    </row>
    <row r="599" spans="1:10" x14ac:dyDescent="0.25">
      <c r="A599" s="1">
        <v>606</v>
      </c>
      <c r="B599" s="2">
        <v>42579.00277777778</v>
      </c>
      <c r="C599" s="2" t="str">
        <f t="shared" si="11"/>
        <v>07</v>
      </c>
      <c r="D599" s="2">
        <v>42579.006249999999</v>
      </c>
      <c r="E599" s="2" t="str">
        <f t="shared" si="11"/>
        <v>07</v>
      </c>
      <c r="F599" t="s">
        <v>7</v>
      </c>
      <c r="G599" t="s">
        <v>16</v>
      </c>
      <c r="H599" t="s">
        <v>15</v>
      </c>
      <c r="I599">
        <v>2.2999999999999998</v>
      </c>
    </row>
    <row r="600" spans="1:10" x14ac:dyDescent="0.25">
      <c r="A600" s="1">
        <v>607</v>
      </c>
      <c r="B600" s="2">
        <v>42580.65625</v>
      </c>
      <c r="C600" s="2" t="str">
        <f t="shared" si="11"/>
        <v>07</v>
      </c>
      <c r="D600" s="2">
        <v>42580.657638888893</v>
      </c>
      <c r="E600" s="2" t="str">
        <f t="shared" si="11"/>
        <v>07</v>
      </c>
      <c r="F600" t="s">
        <v>7</v>
      </c>
      <c r="G600" t="s">
        <v>38</v>
      </c>
      <c r="H600" t="s">
        <v>44</v>
      </c>
      <c r="I600">
        <v>2.2000000000000002</v>
      </c>
    </row>
    <row r="601" spans="1:10" x14ac:dyDescent="0.25">
      <c r="A601" s="1">
        <v>608</v>
      </c>
      <c r="B601" s="2">
        <v>42580.727083333331</v>
      </c>
      <c r="C601" s="2" t="str">
        <f t="shared" si="11"/>
        <v>07</v>
      </c>
      <c r="D601" s="2">
        <v>42580.739583333343</v>
      </c>
      <c r="E601" s="2" t="str">
        <f t="shared" si="11"/>
        <v>07</v>
      </c>
      <c r="F601" t="s">
        <v>7</v>
      </c>
      <c r="G601" t="s">
        <v>44</v>
      </c>
      <c r="H601" t="s">
        <v>38</v>
      </c>
      <c r="I601">
        <v>2.2000000000000002</v>
      </c>
      <c r="J601" t="s">
        <v>9</v>
      </c>
    </row>
    <row r="602" spans="1:10" x14ac:dyDescent="0.25">
      <c r="A602" s="1">
        <v>609</v>
      </c>
      <c r="B602" s="2">
        <v>42581.709722222222</v>
      </c>
      <c r="C602" s="2" t="str">
        <f t="shared" si="11"/>
        <v>07</v>
      </c>
      <c r="D602" s="2">
        <v>42581.727083333331</v>
      </c>
      <c r="E602" s="2" t="str">
        <f t="shared" si="11"/>
        <v>07</v>
      </c>
      <c r="F602" t="s">
        <v>7</v>
      </c>
      <c r="G602" t="s">
        <v>15</v>
      </c>
      <c r="H602" t="s">
        <v>36</v>
      </c>
      <c r="I602">
        <v>14</v>
      </c>
    </row>
    <row r="603" spans="1:10" x14ac:dyDescent="0.25">
      <c r="A603" s="1">
        <v>610</v>
      </c>
      <c r="B603" s="2">
        <v>42581.886111111111</v>
      </c>
      <c r="C603" s="2" t="str">
        <f t="shared" si="11"/>
        <v>07</v>
      </c>
      <c r="D603" s="2">
        <v>42581.90347222222</v>
      </c>
      <c r="E603" s="2" t="str">
        <f t="shared" si="11"/>
        <v>07</v>
      </c>
      <c r="F603" t="s">
        <v>7</v>
      </c>
      <c r="G603" t="s">
        <v>36</v>
      </c>
      <c r="H603" t="s">
        <v>15</v>
      </c>
      <c r="I603">
        <v>13.3</v>
      </c>
    </row>
    <row r="604" spans="1:10" x14ac:dyDescent="0.25">
      <c r="A604" s="1">
        <v>611</v>
      </c>
      <c r="B604" s="2">
        <v>42582.729166666657</v>
      </c>
      <c r="C604" s="2" t="str">
        <f t="shared" si="11"/>
        <v>07</v>
      </c>
      <c r="D604" s="2">
        <v>42582.734027777777</v>
      </c>
      <c r="E604" s="2" t="str">
        <f t="shared" si="11"/>
        <v>07</v>
      </c>
      <c r="F604" t="s">
        <v>7</v>
      </c>
      <c r="G604" t="s">
        <v>44</v>
      </c>
      <c r="H604" t="s">
        <v>38</v>
      </c>
      <c r="I604">
        <v>1.8</v>
      </c>
    </row>
    <row r="605" spans="1:10" x14ac:dyDescent="0.25">
      <c r="A605" s="1">
        <v>612</v>
      </c>
      <c r="B605" s="2">
        <v>42583.532638888893</v>
      </c>
      <c r="C605" s="2" t="str">
        <f t="shared" si="11"/>
        <v>08</v>
      </c>
      <c r="D605" s="2">
        <v>42583.544444444437</v>
      </c>
      <c r="E605" s="2" t="str">
        <f t="shared" si="11"/>
        <v>08</v>
      </c>
      <c r="F605" t="s">
        <v>7</v>
      </c>
      <c r="G605" t="s">
        <v>38</v>
      </c>
      <c r="H605" t="s">
        <v>177</v>
      </c>
      <c r="I605">
        <v>6.2</v>
      </c>
    </row>
    <row r="606" spans="1:10" x14ac:dyDescent="0.25">
      <c r="A606" s="1">
        <v>613</v>
      </c>
      <c r="B606" s="2">
        <v>42583.547222222223</v>
      </c>
      <c r="C606" s="2" t="str">
        <f t="shared" si="11"/>
        <v>08</v>
      </c>
      <c r="D606" s="2">
        <v>42583.554861111108</v>
      </c>
      <c r="E606" s="2" t="str">
        <f t="shared" si="11"/>
        <v>08</v>
      </c>
      <c r="F606" t="s">
        <v>7</v>
      </c>
      <c r="G606" t="s">
        <v>177</v>
      </c>
      <c r="H606" t="s">
        <v>176</v>
      </c>
      <c r="I606">
        <v>1.3</v>
      </c>
    </row>
    <row r="607" spans="1:10" x14ac:dyDescent="0.25">
      <c r="A607" s="1">
        <v>614</v>
      </c>
      <c r="B607" s="2">
        <v>42583.561111111107</v>
      </c>
      <c r="C607" s="2" t="str">
        <f t="shared" si="11"/>
        <v>08</v>
      </c>
      <c r="D607" s="2">
        <v>42583.573611111111</v>
      </c>
      <c r="E607" s="2" t="str">
        <f t="shared" si="11"/>
        <v>08</v>
      </c>
      <c r="F607" t="s">
        <v>7</v>
      </c>
      <c r="G607" t="s">
        <v>176</v>
      </c>
      <c r="H607" t="s">
        <v>44</v>
      </c>
      <c r="I607">
        <v>1.9</v>
      </c>
    </row>
    <row r="608" spans="1:10" x14ac:dyDescent="0.25">
      <c r="A608" s="1">
        <v>615</v>
      </c>
      <c r="B608" s="2">
        <v>42583.577777777777</v>
      </c>
      <c r="C608" s="2" t="str">
        <f t="shared" si="11"/>
        <v>08</v>
      </c>
      <c r="D608" s="2">
        <v>42583.593055555553</v>
      </c>
      <c r="E608" s="2" t="str">
        <f t="shared" si="11"/>
        <v>08</v>
      </c>
      <c r="F608" t="s">
        <v>7</v>
      </c>
      <c r="G608" t="s">
        <v>15</v>
      </c>
      <c r="H608" t="s">
        <v>48</v>
      </c>
      <c r="I608">
        <v>6.9</v>
      </c>
    </row>
    <row r="609" spans="1:10" x14ac:dyDescent="0.25">
      <c r="A609" s="1">
        <v>616</v>
      </c>
      <c r="B609" s="2">
        <v>42583.652777777781</v>
      </c>
      <c r="C609" s="2" t="str">
        <f t="shared" si="11"/>
        <v>08</v>
      </c>
      <c r="D609" s="2">
        <v>42583.657638888893</v>
      </c>
      <c r="E609" s="2" t="str">
        <f t="shared" si="11"/>
        <v>08</v>
      </c>
      <c r="F609" t="s">
        <v>7</v>
      </c>
      <c r="G609" t="s">
        <v>48</v>
      </c>
      <c r="H609" t="s">
        <v>15</v>
      </c>
      <c r="I609">
        <v>4.5999999999999996</v>
      </c>
    </row>
    <row r="610" spans="1:10" x14ac:dyDescent="0.25">
      <c r="A610" s="1">
        <v>617</v>
      </c>
      <c r="B610" s="2">
        <v>42583.679166666669</v>
      </c>
      <c r="C610" s="2" t="str">
        <f t="shared" si="11"/>
        <v>08</v>
      </c>
      <c r="D610" s="2">
        <v>42583.684027777781</v>
      </c>
      <c r="E610" s="2" t="str">
        <f t="shared" si="11"/>
        <v>08</v>
      </c>
      <c r="F610" t="s">
        <v>7</v>
      </c>
      <c r="G610" t="s">
        <v>38</v>
      </c>
      <c r="H610" t="s">
        <v>54</v>
      </c>
      <c r="I610">
        <v>2.8</v>
      </c>
    </row>
    <row r="611" spans="1:10" x14ac:dyDescent="0.25">
      <c r="A611" s="1">
        <v>618</v>
      </c>
      <c r="B611" s="2">
        <v>42583.686805555553</v>
      </c>
      <c r="C611" s="2" t="str">
        <f t="shared" si="11"/>
        <v>08</v>
      </c>
      <c r="D611" s="2">
        <v>42583.707638888889</v>
      </c>
      <c r="E611" s="2" t="str">
        <f t="shared" si="11"/>
        <v>08</v>
      </c>
      <c r="F611" t="s">
        <v>7</v>
      </c>
      <c r="G611" t="s">
        <v>15</v>
      </c>
      <c r="H611" t="s">
        <v>16</v>
      </c>
      <c r="I611">
        <v>9.1</v>
      </c>
    </row>
    <row r="612" spans="1:10" x14ac:dyDescent="0.25">
      <c r="A612" s="1">
        <v>619</v>
      </c>
      <c r="B612" s="2">
        <v>42583.724305555559</v>
      </c>
      <c r="C612" s="2" t="str">
        <f t="shared" si="11"/>
        <v>08</v>
      </c>
      <c r="D612" s="2">
        <v>42583.746527777781</v>
      </c>
      <c r="E612" s="2" t="str">
        <f t="shared" si="11"/>
        <v>08</v>
      </c>
      <c r="F612" t="s">
        <v>7</v>
      </c>
      <c r="G612" t="s">
        <v>16</v>
      </c>
      <c r="H612" t="s">
        <v>15</v>
      </c>
      <c r="I612">
        <v>8.1</v>
      </c>
    </row>
    <row r="613" spans="1:10" x14ac:dyDescent="0.25">
      <c r="A613" s="1">
        <v>620</v>
      </c>
      <c r="B613" s="2">
        <v>42584.34097222222</v>
      </c>
      <c r="C613" s="2" t="str">
        <f t="shared" si="11"/>
        <v>08</v>
      </c>
      <c r="D613" s="2">
        <v>42584.355555555558</v>
      </c>
      <c r="E613" s="2" t="str">
        <f t="shared" si="11"/>
        <v>08</v>
      </c>
      <c r="F613" t="s">
        <v>7</v>
      </c>
      <c r="G613" t="s">
        <v>15</v>
      </c>
      <c r="H613" t="s">
        <v>16</v>
      </c>
      <c r="I613">
        <v>8.4</v>
      </c>
      <c r="J613" t="s">
        <v>11</v>
      </c>
    </row>
    <row r="614" spans="1:10" x14ac:dyDescent="0.25">
      <c r="A614" s="1">
        <v>621</v>
      </c>
      <c r="B614" s="2">
        <v>42584.493750000001</v>
      </c>
      <c r="C614" s="2" t="str">
        <f t="shared" si="11"/>
        <v>08</v>
      </c>
      <c r="D614" s="2">
        <v>42584.510416666657</v>
      </c>
      <c r="E614" s="2" t="str">
        <f t="shared" si="11"/>
        <v>08</v>
      </c>
      <c r="F614" t="s">
        <v>7</v>
      </c>
      <c r="G614" t="s">
        <v>178</v>
      </c>
      <c r="H614" t="s">
        <v>179</v>
      </c>
      <c r="I614">
        <v>4.9000000000000004</v>
      </c>
    </row>
    <row r="615" spans="1:10" x14ac:dyDescent="0.25">
      <c r="A615" s="1">
        <v>622</v>
      </c>
      <c r="B615" s="2">
        <v>42584.802083333343</v>
      </c>
      <c r="C615" s="2" t="str">
        <f t="shared" si="11"/>
        <v>08</v>
      </c>
      <c r="D615" s="2">
        <v>42584.807638888888</v>
      </c>
      <c r="E615" s="2" t="str">
        <f t="shared" si="11"/>
        <v>08</v>
      </c>
      <c r="F615" t="s">
        <v>7</v>
      </c>
      <c r="G615" t="s">
        <v>180</v>
      </c>
      <c r="H615" t="s">
        <v>181</v>
      </c>
      <c r="I615">
        <v>1</v>
      </c>
    </row>
    <row r="616" spans="1:10" x14ac:dyDescent="0.25">
      <c r="A616" s="1">
        <v>623</v>
      </c>
      <c r="B616" s="2">
        <v>42584.890972222223</v>
      </c>
      <c r="C616" s="2" t="str">
        <f t="shared" si="11"/>
        <v>08</v>
      </c>
      <c r="D616" s="2">
        <v>42584.895138888889</v>
      </c>
      <c r="E616" s="2" t="str">
        <f t="shared" si="11"/>
        <v>08</v>
      </c>
      <c r="F616" t="s">
        <v>7</v>
      </c>
      <c r="G616" t="s">
        <v>181</v>
      </c>
      <c r="H616" t="s">
        <v>180</v>
      </c>
      <c r="I616">
        <v>1</v>
      </c>
    </row>
    <row r="617" spans="1:10" x14ac:dyDescent="0.25">
      <c r="A617" s="1">
        <v>624</v>
      </c>
      <c r="B617" s="2">
        <v>42585.531944444447</v>
      </c>
      <c r="C617" s="2" t="str">
        <f t="shared" si="11"/>
        <v>08</v>
      </c>
      <c r="D617" s="2">
        <v>42585.541666666657</v>
      </c>
      <c r="E617" s="2" t="str">
        <f t="shared" si="11"/>
        <v>08</v>
      </c>
      <c r="F617" t="s">
        <v>7</v>
      </c>
      <c r="G617" t="s">
        <v>182</v>
      </c>
      <c r="H617" t="s">
        <v>183</v>
      </c>
      <c r="I617">
        <v>2</v>
      </c>
    </row>
    <row r="618" spans="1:10" x14ac:dyDescent="0.25">
      <c r="A618" s="1">
        <v>625</v>
      </c>
      <c r="B618" s="2">
        <v>42585.624305555553</v>
      </c>
      <c r="C618" s="2" t="str">
        <f t="shared" si="11"/>
        <v>08</v>
      </c>
      <c r="D618" s="2">
        <v>42585.627083333333</v>
      </c>
      <c r="E618" s="2" t="str">
        <f t="shared" si="11"/>
        <v>08</v>
      </c>
      <c r="F618" t="s">
        <v>7</v>
      </c>
      <c r="G618" t="s">
        <v>181</v>
      </c>
      <c r="H618" t="s">
        <v>180</v>
      </c>
      <c r="I618">
        <v>1.1000000000000001</v>
      </c>
    </row>
    <row r="619" spans="1:10" x14ac:dyDescent="0.25">
      <c r="A619" s="1">
        <v>626</v>
      </c>
      <c r="B619" s="2">
        <v>42585.666666666657</v>
      </c>
      <c r="C619" s="2" t="str">
        <f t="shared" si="11"/>
        <v>08</v>
      </c>
      <c r="D619" s="2">
        <v>42585.669444444437</v>
      </c>
      <c r="E619" s="2" t="str">
        <f t="shared" si="11"/>
        <v>08</v>
      </c>
      <c r="F619" t="s">
        <v>7</v>
      </c>
      <c r="G619" t="s">
        <v>180</v>
      </c>
      <c r="H619" t="s">
        <v>31</v>
      </c>
      <c r="I619">
        <v>1.5</v>
      </c>
    </row>
    <row r="620" spans="1:10" x14ac:dyDescent="0.25">
      <c r="A620" s="1">
        <v>627</v>
      </c>
      <c r="B620" s="2">
        <v>42587.724305555559</v>
      </c>
      <c r="C620" s="2" t="str">
        <f t="shared" si="11"/>
        <v>08</v>
      </c>
      <c r="D620" s="2">
        <v>42587.729166666657</v>
      </c>
      <c r="E620" s="2" t="str">
        <f t="shared" si="11"/>
        <v>08</v>
      </c>
      <c r="F620" t="s">
        <v>7</v>
      </c>
      <c r="G620" t="s">
        <v>184</v>
      </c>
      <c r="H620" t="s">
        <v>180</v>
      </c>
      <c r="I620">
        <v>1.3</v>
      </c>
    </row>
    <row r="621" spans="1:10" x14ac:dyDescent="0.25">
      <c r="A621" s="1">
        <v>628</v>
      </c>
      <c r="B621" s="2">
        <v>42587.761805555558</v>
      </c>
      <c r="C621" s="2" t="str">
        <f t="shared" si="11"/>
        <v>08</v>
      </c>
      <c r="D621" s="2">
        <v>42587.76458333333</v>
      </c>
      <c r="E621" s="2" t="str">
        <f t="shared" si="11"/>
        <v>08</v>
      </c>
      <c r="F621" t="s">
        <v>7</v>
      </c>
      <c r="G621" t="s">
        <v>180</v>
      </c>
      <c r="H621" t="s">
        <v>185</v>
      </c>
      <c r="I621">
        <v>1.8</v>
      </c>
    </row>
    <row r="622" spans="1:10" x14ac:dyDescent="0.25">
      <c r="A622" s="1">
        <v>629</v>
      </c>
      <c r="B622" s="2">
        <v>42587.803472222222</v>
      </c>
      <c r="C622" s="2" t="str">
        <f t="shared" si="11"/>
        <v>08</v>
      </c>
      <c r="D622" s="2">
        <v>42587.810416666667</v>
      </c>
      <c r="E622" s="2" t="str">
        <f t="shared" si="11"/>
        <v>08</v>
      </c>
      <c r="F622" t="s">
        <v>7</v>
      </c>
      <c r="G622" t="s">
        <v>185</v>
      </c>
      <c r="H622" t="s">
        <v>180</v>
      </c>
      <c r="I622">
        <v>1.5</v>
      </c>
    </row>
    <row r="623" spans="1:10" x14ac:dyDescent="0.25">
      <c r="A623" s="1">
        <v>630</v>
      </c>
      <c r="B623" s="2">
        <v>42588.277777777781</v>
      </c>
      <c r="C623" s="2" t="str">
        <f t="shared" si="11"/>
        <v>08</v>
      </c>
      <c r="D623" s="2">
        <v>42588.290277777778</v>
      </c>
      <c r="E623" s="2" t="str">
        <f t="shared" si="11"/>
        <v>08</v>
      </c>
      <c r="F623" t="s">
        <v>7</v>
      </c>
      <c r="G623" t="s">
        <v>179</v>
      </c>
      <c r="H623" t="s">
        <v>178</v>
      </c>
      <c r="I623">
        <v>6.6</v>
      </c>
    </row>
    <row r="624" spans="1:10" x14ac:dyDescent="0.25">
      <c r="A624" s="1">
        <v>631</v>
      </c>
      <c r="B624" s="2">
        <v>42588.396527777782</v>
      </c>
      <c r="C624" s="2" t="str">
        <f t="shared" si="11"/>
        <v>08</v>
      </c>
      <c r="D624" s="2">
        <v>42588.411805555559</v>
      </c>
      <c r="E624" s="2" t="str">
        <f t="shared" si="11"/>
        <v>08</v>
      </c>
      <c r="F624" t="s">
        <v>7</v>
      </c>
      <c r="G624" t="s">
        <v>16</v>
      </c>
      <c r="H624" t="s">
        <v>15</v>
      </c>
      <c r="I624">
        <v>8</v>
      </c>
    </row>
    <row r="625" spans="1:10" x14ac:dyDescent="0.25">
      <c r="A625" s="1">
        <v>632</v>
      </c>
      <c r="B625" s="2">
        <v>42589.718055555553</v>
      </c>
      <c r="C625" s="2" t="str">
        <f t="shared" si="11"/>
        <v>08</v>
      </c>
      <c r="D625" s="2">
        <v>42589.724305555559</v>
      </c>
      <c r="E625" s="2" t="str">
        <f t="shared" si="11"/>
        <v>08</v>
      </c>
      <c r="F625" t="s">
        <v>7</v>
      </c>
      <c r="G625" t="s">
        <v>38</v>
      </c>
      <c r="H625" t="s">
        <v>54</v>
      </c>
      <c r="I625">
        <v>2.7</v>
      </c>
    </row>
    <row r="626" spans="1:10" x14ac:dyDescent="0.25">
      <c r="A626" s="1">
        <v>633</v>
      </c>
      <c r="B626" s="2">
        <v>42589.727777777778</v>
      </c>
      <c r="C626" s="2" t="str">
        <f t="shared" si="11"/>
        <v>08</v>
      </c>
      <c r="D626" s="2">
        <v>42589.738194444442</v>
      </c>
      <c r="E626" s="2" t="str">
        <f t="shared" si="11"/>
        <v>08</v>
      </c>
      <c r="F626" t="s">
        <v>7</v>
      </c>
      <c r="G626" t="s">
        <v>54</v>
      </c>
      <c r="H626" t="s">
        <v>38</v>
      </c>
      <c r="I626">
        <v>2.7</v>
      </c>
      <c r="J626" t="s">
        <v>13</v>
      </c>
    </row>
    <row r="627" spans="1:10" x14ac:dyDescent="0.25">
      <c r="A627" s="1">
        <v>634</v>
      </c>
      <c r="B627" s="2">
        <v>42589.761805555558</v>
      </c>
      <c r="C627" s="2" t="str">
        <f t="shared" si="11"/>
        <v>08</v>
      </c>
      <c r="D627" s="2">
        <v>42589.765972222223</v>
      </c>
      <c r="E627" s="2" t="str">
        <f t="shared" si="11"/>
        <v>08</v>
      </c>
      <c r="F627" t="s">
        <v>7</v>
      </c>
      <c r="G627" t="s">
        <v>15</v>
      </c>
      <c r="H627" t="s">
        <v>16</v>
      </c>
      <c r="I627">
        <v>2.5</v>
      </c>
    </row>
    <row r="628" spans="1:10" x14ac:dyDescent="0.25">
      <c r="A628" s="1">
        <v>635</v>
      </c>
      <c r="B628" s="2">
        <v>42589.84375</v>
      </c>
      <c r="C628" s="2" t="str">
        <f t="shared" si="11"/>
        <v>08</v>
      </c>
      <c r="D628" s="2">
        <v>42589.849305555559</v>
      </c>
      <c r="E628" s="2" t="str">
        <f t="shared" si="11"/>
        <v>08</v>
      </c>
      <c r="F628" t="s">
        <v>7</v>
      </c>
      <c r="G628" t="s">
        <v>16</v>
      </c>
      <c r="H628" t="s">
        <v>15</v>
      </c>
      <c r="I628">
        <v>2.5</v>
      </c>
      <c r="J628" t="s">
        <v>9</v>
      </c>
    </row>
    <row r="629" spans="1:10" x14ac:dyDescent="0.25">
      <c r="A629" s="1">
        <v>636</v>
      </c>
      <c r="B629" s="2">
        <v>42590.678472222222</v>
      </c>
      <c r="C629" s="2" t="str">
        <f t="shared" si="11"/>
        <v>08</v>
      </c>
      <c r="D629" s="2">
        <v>42590.688194444447</v>
      </c>
      <c r="E629" s="2" t="str">
        <f t="shared" si="11"/>
        <v>08</v>
      </c>
      <c r="F629" t="s">
        <v>7</v>
      </c>
      <c r="G629" t="s">
        <v>38</v>
      </c>
      <c r="H629" t="s">
        <v>37</v>
      </c>
      <c r="I629">
        <v>5.2</v>
      </c>
    </row>
    <row r="630" spans="1:10" x14ac:dyDescent="0.25">
      <c r="A630" s="1">
        <v>637</v>
      </c>
      <c r="B630" s="2">
        <v>42590.692361111112</v>
      </c>
      <c r="C630" s="2" t="str">
        <f t="shared" si="11"/>
        <v>08</v>
      </c>
      <c r="D630" s="2">
        <v>42590.701388888891</v>
      </c>
      <c r="E630" s="2" t="str">
        <f t="shared" si="11"/>
        <v>08</v>
      </c>
      <c r="F630" t="s">
        <v>7</v>
      </c>
      <c r="G630" t="s">
        <v>37</v>
      </c>
      <c r="H630" t="s">
        <v>54</v>
      </c>
      <c r="I630">
        <v>4</v>
      </c>
    </row>
    <row r="631" spans="1:10" x14ac:dyDescent="0.25">
      <c r="A631" s="1">
        <v>638</v>
      </c>
      <c r="B631" s="2">
        <v>42590.709722222222</v>
      </c>
      <c r="C631" s="2" t="str">
        <f t="shared" si="11"/>
        <v>08</v>
      </c>
      <c r="D631" s="2">
        <v>42590.717361111107</v>
      </c>
      <c r="E631" s="2" t="str">
        <f t="shared" si="11"/>
        <v>08</v>
      </c>
      <c r="F631" t="s">
        <v>7</v>
      </c>
      <c r="G631" t="s">
        <v>54</v>
      </c>
      <c r="H631" t="s">
        <v>38</v>
      </c>
      <c r="I631">
        <v>2.7</v>
      </c>
      <c r="J631" t="s">
        <v>13</v>
      </c>
    </row>
    <row r="632" spans="1:10" x14ac:dyDescent="0.25">
      <c r="A632" s="1">
        <v>639</v>
      </c>
      <c r="B632" s="2">
        <v>42590.909722222219</v>
      </c>
      <c r="C632" s="2" t="str">
        <f t="shared" si="11"/>
        <v>08</v>
      </c>
      <c r="D632" s="2">
        <v>42590.927083333343</v>
      </c>
      <c r="E632" s="2" t="str">
        <f t="shared" si="11"/>
        <v>08</v>
      </c>
      <c r="F632" t="s">
        <v>7</v>
      </c>
      <c r="G632" t="s">
        <v>15</v>
      </c>
      <c r="H632" t="s">
        <v>16</v>
      </c>
      <c r="I632">
        <v>4.8</v>
      </c>
    </row>
    <row r="633" spans="1:10" x14ac:dyDescent="0.25">
      <c r="A633" s="1">
        <v>640</v>
      </c>
      <c r="B633" s="2">
        <v>42590.977777777778</v>
      </c>
      <c r="C633" s="2" t="str">
        <f t="shared" si="11"/>
        <v>08</v>
      </c>
      <c r="D633" s="2">
        <v>42590.984027777777</v>
      </c>
      <c r="E633" s="2" t="str">
        <f t="shared" si="11"/>
        <v>08</v>
      </c>
      <c r="F633" t="s">
        <v>7</v>
      </c>
      <c r="G633" t="s">
        <v>16</v>
      </c>
      <c r="H633" t="s">
        <v>15</v>
      </c>
      <c r="I633">
        <v>3.2</v>
      </c>
      <c r="J633" t="s">
        <v>13</v>
      </c>
    </row>
    <row r="634" spans="1:10" x14ac:dyDescent="0.25">
      <c r="A634" s="1">
        <v>641</v>
      </c>
      <c r="B634" s="2">
        <v>42591.597222222219</v>
      </c>
      <c r="C634" s="2" t="str">
        <f t="shared" si="11"/>
        <v>08</v>
      </c>
      <c r="D634" s="2">
        <v>42591.609722222223</v>
      </c>
      <c r="E634" s="2" t="str">
        <f t="shared" si="11"/>
        <v>08</v>
      </c>
      <c r="F634" t="s">
        <v>7</v>
      </c>
      <c r="G634" t="s">
        <v>38</v>
      </c>
      <c r="H634" t="s">
        <v>72</v>
      </c>
      <c r="I634">
        <v>6.9</v>
      </c>
    </row>
    <row r="635" spans="1:10" x14ac:dyDescent="0.25">
      <c r="A635" s="1">
        <v>642</v>
      </c>
      <c r="B635" s="2">
        <v>42591.635416666657</v>
      </c>
      <c r="C635" s="2" t="str">
        <f t="shared" si="11"/>
        <v>08</v>
      </c>
      <c r="D635" s="2">
        <v>42591.65</v>
      </c>
      <c r="E635" s="2" t="str">
        <f t="shared" si="11"/>
        <v>08</v>
      </c>
      <c r="F635" t="s">
        <v>7</v>
      </c>
      <c r="G635" t="s">
        <v>15</v>
      </c>
      <c r="H635" t="s">
        <v>40</v>
      </c>
      <c r="I635">
        <v>14.9</v>
      </c>
    </row>
    <row r="636" spans="1:10" x14ac:dyDescent="0.25">
      <c r="A636" s="1">
        <v>643</v>
      </c>
      <c r="B636" s="2">
        <v>42591.669444444437</v>
      </c>
      <c r="C636" s="2" t="str">
        <f t="shared" si="11"/>
        <v>08</v>
      </c>
      <c r="D636" s="2">
        <v>42591.692361111112</v>
      </c>
      <c r="E636" s="2" t="str">
        <f t="shared" si="11"/>
        <v>08</v>
      </c>
      <c r="F636" t="s">
        <v>7</v>
      </c>
      <c r="G636" t="s">
        <v>40</v>
      </c>
      <c r="H636" t="s">
        <v>15</v>
      </c>
      <c r="I636">
        <v>17.399999999999999</v>
      </c>
    </row>
    <row r="637" spans="1:10" x14ac:dyDescent="0.25">
      <c r="A637" s="1">
        <v>644</v>
      </c>
      <c r="B637" s="2">
        <v>42592.705555555563</v>
      </c>
      <c r="C637" s="2" t="str">
        <f t="shared" si="11"/>
        <v>08</v>
      </c>
      <c r="D637" s="2">
        <v>42592.724999999999</v>
      </c>
      <c r="E637" s="2" t="str">
        <f t="shared" si="11"/>
        <v>08</v>
      </c>
      <c r="F637" t="s">
        <v>7</v>
      </c>
      <c r="G637" t="s">
        <v>15</v>
      </c>
      <c r="H637" t="s">
        <v>36</v>
      </c>
      <c r="I637">
        <v>12.9</v>
      </c>
    </row>
    <row r="638" spans="1:10" x14ac:dyDescent="0.25">
      <c r="A638" s="1">
        <v>645</v>
      </c>
      <c r="B638" s="2">
        <v>42592.745138888888</v>
      </c>
      <c r="C638" s="2" t="str">
        <f t="shared" si="11"/>
        <v>08</v>
      </c>
      <c r="D638" s="2">
        <v>42592.769444444442</v>
      </c>
      <c r="E638" s="2" t="str">
        <f t="shared" si="11"/>
        <v>08</v>
      </c>
      <c r="F638" t="s">
        <v>7</v>
      </c>
      <c r="G638" t="s">
        <v>36</v>
      </c>
      <c r="H638" t="s">
        <v>48</v>
      </c>
      <c r="I638">
        <v>15.3</v>
      </c>
    </row>
    <row r="639" spans="1:10" x14ac:dyDescent="0.25">
      <c r="A639" s="1">
        <v>646</v>
      </c>
      <c r="B639" s="2">
        <v>42592.78402777778</v>
      </c>
      <c r="C639" s="2" t="str">
        <f t="shared" si="11"/>
        <v>08</v>
      </c>
      <c r="D639" s="2">
        <v>42592.784722222219</v>
      </c>
      <c r="E639" s="2" t="str">
        <f t="shared" si="11"/>
        <v>08</v>
      </c>
      <c r="F639" t="s">
        <v>7</v>
      </c>
      <c r="G639" t="s">
        <v>48</v>
      </c>
      <c r="H639" t="s">
        <v>48</v>
      </c>
      <c r="I639">
        <v>1</v>
      </c>
    </row>
    <row r="640" spans="1:10" x14ac:dyDescent="0.25">
      <c r="A640" s="1">
        <v>647</v>
      </c>
      <c r="B640" s="2">
        <v>42592.824305555558</v>
      </c>
      <c r="C640" s="2" t="str">
        <f t="shared" si="11"/>
        <v>08</v>
      </c>
      <c r="D640" s="2">
        <v>42592.834722222222</v>
      </c>
      <c r="E640" s="2" t="str">
        <f t="shared" si="11"/>
        <v>08</v>
      </c>
      <c r="F640" t="s">
        <v>7</v>
      </c>
      <c r="G640" t="s">
        <v>48</v>
      </c>
      <c r="H640" t="s">
        <v>15</v>
      </c>
      <c r="I640">
        <v>6</v>
      </c>
    </row>
    <row r="641" spans="1:10" x14ac:dyDescent="0.25">
      <c r="A641" s="1">
        <v>648</v>
      </c>
      <c r="B641" s="2">
        <v>42593.536805555559</v>
      </c>
      <c r="C641" s="2" t="str">
        <f t="shared" si="11"/>
        <v>08</v>
      </c>
      <c r="D641" s="2">
        <v>42593.541666666657</v>
      </c>
      <c r="E641" s="2" t="str">
        <f t="shared" si="11"/>
        <v>08</v>
      </c>
      <c r="F641" t="s">
        <v>7</v>
      </c>
      <c r="G641" t="s">
        <v>38</v>
      </c>
      <c r="H641" t="s">
        <v>71</v>
      </c>
      <c r="I641">
        <v>2.2000000000000002</v>
      </c>
    </row>
    <row r="642" spans="1:10" x14ac:dyDescent="0.25">
      <c r="A642" s="1">
        <v>649</v>
      </c>
      <c r="B642" s="2">
        <v>42593.551388888889</v>
      </c>
      <c r="C642" s="2" t="str">
        <f t="shared" si="11"/>
        <v>08</v>
      </c>
      <c r="D642" s="2">
        <v>42593.561111111107</v>
      </c>
      <c r="E642" s="2" t="str">
        <f t="shared" si="11"/>
        <v>08</v>
      </c>
      <c r="F642" t="s">
        <v>7</v>
      </c>
      <c r="G642" t="s">
        <v>71</v>
      </c>
      <c r="H642" t="s">
        <v>54</v>
      </c>
      <c r="I642">
        <v>4.4000000000000004</v>
      </c>
    </row>
    <row r="643" spans="1:10" x14ac:dyDescent="0.25">
      <c r="A643" s="1">
        <v>650</v>
      </c>
      <c r="B643" s="2">
        <v>42593.563888888893</v>
      </c>
      <c r="C643" s="2" t="str">
        <f t="shared" ref="C643:E706" si="12" xml:space="preserve"> TEXT(B643, "mm")</f>
        <v>08</v>
      </c>
      <c r="D643" s="2">
        <v>42593.570833333331</v>
      </c>
      <c r="E643" s="2" t="str">
        <f t="shared" si="12"/>
        <v>08</v>
      </c>
      <c r="F643" t="s">
        <v>7</v>
      </c>
      <c r="G643" t="s">
        <v>54</v>
      </c>
      <c r="H643" t="s">
        <v>38</v>
      </c>
      <c r="I643">
        <v>2.8</v>
      </c>
    </row>
    <row r="644" spans="1:10" x14ac:dyDescent="0.25">
      <c r="A644" s="1">
        <v>651</v>
      </c>
      <c r="B644" s="2">
        <v>42593.775694444441</v>
      </c>
      <c r="C644" s="2" t="str">
        <f t="shared" si="12"/>
        <v>08</v>
      </c>
      <c r="D644" s="2">
        <v>42593.811805555553</v>
      </c>
      <c r="E644" s="2" t="str">
        <f t="shared" si="12"/>
        <v>08</v>
      </c>
      <c r="F644" t="s">
        <v>7</v>
      </c>
      <c r="G644" t="s">
        <v>15</v>
      </c>
      <c r="H644" t="s">
        <v>186</v>
      </c>
      <c r="I644">
        <v>31.7</v>
      </c>
    </row>
    <row r="645" spans="1:10" x14ac:dyDescent="0.25">
      <c r="A645" s="1">
        <v>652</v>
      </c>
      <c r="B645" s="2">
        <v>42593.874305555553</v>
      </c>
      <c r="C645" s="2" t="str">
        <f t="shared" si="12"/>
        <v>08</v>
      </c>
      <c r="D645" s="2">
        <v>42593.905555555553</v>
      </c>
      <c r="E645" s="2" t="str">
        <f t="shared" si="12"/>
        <v>08</v>
      </c>
      <c r="F645" t="s">
        <v>7</v>
      </c>
      <c r="G645" t="s">
        <v>186</v>
      </c>
      <c r="H645" t="s">
        <v>15</v>
      </c>
      <c r="I645">
        <v>31.9</v>
      </c>
    </row>
    <row r="646" spans="1:10" x14ac:dyDescent="0.25">
      <c r="A646" s="1">
        <v>653</v>
      </c>
      <c r="B646" s="2">
        <v>42594.78402777778</v>
      </c>
      <c r="C646" s="2" t="str">
        <f t="shared" si="12"/>
        <v>08</v>
      </c>
      <c r="D646" s="2">
        <v>42594.786111111112</v>
      </c>
      <c r="E646" s="2" t="str">
        <f t="shared" si="12"/>
        <v>08</v>
      </c>
      <c r="F646" t="s">
        <v>7</v>
      </c>
      <c r="G646" t="s">
        <v>38</v>
      </c>
      <c r="H646" t="s">
        <v>44</v>
      </c>
      <c r="I646">
        <v>1.9</v>
      </c>
    </row>
    <row r="647" spans="1:10" x14ac:dyDescent="0.25">
      <c r="A647" s="1">
        <v>654</v>
      </c>
      <c r="B647" s="2">
        <v>42594.788888888892</v>
      </c>
      <c r="C647" s="2" t="str">
        <f t="shared" si="12"/>
        <v>08</v>
      </c>
      <c r="D647" s="2">
        <v>42594.795138888891</v>
      </c>
      <c r="E647" s="2" t="str">
        <f t="shared" si="12"/>
        <v>08</v>
      </c>
      <c r="F647" t="s">
        <v>7</v>
      </c>
      <c r="G647" t="s">
        <v>44</v>
      </c>
      <c r="H647" t="s">
        <v>38</v>
      </c>
      <c r="I647">
        <v>1.8</v>
      </c>
    </row>
    <row r="648" spans="1:10" x14ac:dyDescent="0.25">
      <c r="A648" s="1">
        <v>655</v>
      </c>
      <c r="B648" s="2">
        <v>42595.649305555547</v>
      </c>
      <c r="C648" s="2" t="str">
        <f t="shared" si="12"/>
        <v>08</v>
      </c>
      <c r="D648" s="2">
        <v>42595.665277777778</v>
      </c>
      <c r="E648" s="2" t="str">
        <f t="shared" si="12"/>
        <v>08</v>
      </c>
      <c r="F648" t="s">
        <v>7</v>
      </c>
      <c r="G648" t="s">
        <v>15</v>
      </c>
      <c r="H648" t="s">
        <v>16</v>
      </c>
      <c r="I648">
        <v>8.4</v>
      </c>
      <c r="J648" t="s">
        <v>11</v>
      </c>
    </row>
    <row r="649" spans="1:10" x14ac:dyDescent="0.25">
      <c r="A649" s="1">
        <v>656</v>
      </c>
      <c r="B649" s="2">
        <v>42597.378472222219</v>
      </c>
      <c r="C649" s="2" t="str">
        <f t="shared" si="12"/>
        <v>08</v>
      </c>
      <c r="D649" s="2">
        <v>42597.411111111112</v>
      </c>
      <c r="E649" s="2" t="str">
        <f t="shared" si="12"/>
        <v>08</v>
      </c>
      <c r="F649" t="s">
        <v>7</v>
      </c>
      <c r="G649" t="s">
        <v>69</v>
      </c>
      <c r="H649" t="s">
        <v>65</v>
      </c>
      <c r="I649">
        <v>15.6</v>
      </c>
    </row>
    <row r="650" spans="1:10" x14ac:dyDescent="0.25">
      <c r="A650" s="1">
        <v>663</v>
      </c>
      <c r="B650" s="2">
        <v>42598.42083333333</v>
      </c>
      <c r="C650" s="2" t="str">
        <f t="shared" si="12"/>
        <v>08</v>
      </c>
      <c r="D650" s="2">
        <v>42598.435416666667</v>
      </c>
      <c r="E650" s="2" t="str">
        <f t="shared" si="12"/>
        <v>08</v>
      </c>
      <c r="F650" t="s">
        <v>7</v>
      </c>
      <c r="G650" t="s">
        <v>65</v>
      </c>
      <c r="H650" t="s">
        <v>68</v>
      </c>
      <c r="I650">
        <v>5.7</v>
      </c>
    </row>
    <row r="651" spans="1:10" x14ac:dyDescent="0.25">
      <c r="A651" s="1">
        <v>664</v>
      </c>
      <c r="B651" s="2">
        <v>42598.438194444447</v>
      </c>
      <c r="C651" s="2" t="str">
        <f t="shared" si="12"/>
        <v>08</v>
      </c>
      <c r="D651" s="2">
        <v>42598.443055555559</v>
      </c>
      <c r="E651" s="2" t="str">
        <f t="shared" si="12"/>
        <v>08</v>
      </c>
      <c r="F651" t="s">
        <v>7</v>
      </c>
      <c r="G651" t="s">
        <v>68</v>
      </c>
      <c r="H651" t="s">
        <v>68</v>
      </c>
      <c r="I651">
        <v>1.2</v>
      </c>
    </row>
    <row r="652" spans="1:10" x14ac:dyDescent="0.25">
      <c r="A652" s="1">
        <v>665</v>
      </c>
      <c r="B652" s="2">
        <v>42598.490972222222</v>
      </c>
      <c r="C652" s="2" t="str">
        <f t="shared" si="12"/>
        <v>08</v>
      </c>
      <c r="D652" s="2">
        <v>42598.502083333333</v>
      </c>
      <c r="E652" s="2" t="str">
        <f t="shared" si="12"/>
        <v>08</v>
      </c>
      <c r="F652" t="s">
        <v>7</v>
      </c>
      <c r="G652" t="s">
        <v>68</v>
      </c>
      <c r="H652" t="s">
        <v>65</v>
      </c>
      <c r="I652">
        <v>5.7</v>
      </c>
      <c r="J652" t="s">
        <v>24</v>
      </c>
    </row>
    <row r="653" spans="1:10" x14ac:dyDescent="0.25">
      <c r="A653" s="1">
        <v>669</v>
      </c>
      <c r="B653" s="2">
        <v>42599.614583333343</v>
      </c>
      <c r="C653" s="2" t="str">
        <f t="shared" si="12"/>
        <v>08</v>
      </c>
      <c r="D653" s="2">
        <v>42599.618055555547</v>
      </c>
      <c r="E653" s="2" t="str">
        <f t="shared" si="12"/>
        <v>08</v>
      </c>
      <c r="F653" t="s">
        <v>7</v>
      </c>
      <c r="G653" t="s">
        <v>65</v>
      </c>
      <c r="H653" t="s">
        <v>69</v>
      </c>
      <c r="I653">
        <v>1.4</v>
      </c>
    </row>
    <row r="654" spans="1:10" x14ac:dyDescent="0.25">
      <c r="A654" s="1">
        <v>670</v>
      </c>
      <c r="B654" s="2">
        <v>42599.647222222222</v>
      </c>
      <c r="C654" s="2" t="str">
        <f t="shared" si="12"/>
        <v>08</v>
      </c>
      <c r="D654" s="2">
        <v>42599.657638888893</v>
      </c>
      <c r="E654" s="2" t="str">
        <f t="shared" si="12"/>
        <v>08</v>
      </c>
      <c r="F654" t="s">
        <v>7</v>
      </c>
      <c r="G654" t="s">
        <v>69</v>
      </c>
      <c r="H654" t="s">
        <v>68</v>
      </c>
      <c r="I654">
        <v>6.4</v>
      </c>
    </row>
    <row r="655" spans="1:10" x14ac:dyDescent="0.25">
      <c r="A655" s="1">
        <v>671</v>
      </c>
      <c r="B655" s="2">
        <v>42599.686805555553</v>
      </c>
      <c r="C655" s="2" t="str">
        <f t="shared" si="12"/>
        <v>08</v>
      </c>
      <c r="D655" s="2">
        <v>42599.701388888891</v>
      </c>
      <c r="E655" s="2" t="str">
        <f t="shared" si="12"/>
        <v>08</v>
      </c>
      <c r="F655" t="s">
        <v>7</v>
      </c>
      <c r="G655" t="s">
        <v>68</v>
      </c>
      <c r="H655" t="s">
        <v>65</v>
      </c>
      <c r="I655">
        <v>7.3</v>
      </c>
    </row>
    <row r="656" spans="1:10" x14ac:dyDescent="0.25">
      <c r="A656" s="1">
        <v>676</v>
      </c>
      <c r="B656" s="2">
        <v>42601.35</v>
      </c>
      <c r="C656" s="2" t="str">
        <f t="shared" si="12"/>
        <v>08</v>
      </c>
      <c r="D656" s="2">
        <v>42601.364583333343</v>
      </c>
      <c r="E656" s="2" t="str">
        <f t="shared" si="12"/>
        <v>08</v>
      </c>
      <c r="F656" t="s">
        <v>7</v>
      </c>
      <c r="G656" t="s">
        <v>65</v>
      </c>
      <c r="H656" t="s">
        <v>70</v>
      </c>
      <c r="I656">
        <v>7.6</v>
      </c>
    </row>
    <row r="657" spans="1:9" x14ac:dyDescent="0.25">
      <c r="A657" s="1">
        <v>677</v>
      </c>
      <c r="B657" s="2">
        <v>42601.370833333327</v>
      </c>
      <c r="C657" s="2" t="str">
        <f t="shared" si="12"/>
        <v>08</v>
      </c>
      <c r="D657" s="2">
        <v>42601.379861111112</v>
      </c>
      <c r="E657" s="2" t="str">
        <f t="shared" si="12"/>
        <v>08</v>
      </c>
      <c r="F657" t="s">
        <v>7</v>
      </c>
      <c r="G657" t="s">
        <v>70</v>
      </c>
      <c r="H657" t="s">
        <v>68</v>
      </c>
      <c r="I657">
        <v>3.3</v>
      </c>
    </row>
    <row r="658" spans="1:9" x14ac:dyDescent="0.25">
      <c r="A658" s="1">
        <v>678</v>
      </c>
      <c r="B658" s="2">
        <v>42601.393750000003</v>
      </c>
      <c r="C658" s="2" t="str">
        <f t="shared" si="12"/>
        <v>08</v>
      </c>
      <c r="D658" s="2">
        <v>42601.407638888893</v>
      </c>
      <c r="E658" s="2" t="str">
        <f t="shared" si="12"/>
        <v>08</v>
      </c>
      <c r="F658" t="s">
        <v>7</v>
      </c>
      <c r="G658" t="s">
        <v>68</v>
      </c>
      <c r="H658" t="s">
        <v>69</v>
      </c>
      <c r="I658">
        <v>6.5</v>
      </c>
    </row>
    <row r="659" spans="1:9" x14ac:dyDescent="0.25">
      <c r="A659" s="1">
        <v>679</v>
      </c>
      <c r="B659" s="2">
        <v>42601.456250000003</v>
      </c>
      <c r="C659" s="2" t="str">
        <f t="shared" si="12"/>
        <v>08</v>
      </c>
      <c r="D659" s="2">
        <v>42601.462500000001</v>
      </c>
      <c r="E659" s="2" t="str">
        <f t="shared" si="12"/>
        <v>08</v>
      </c>
      <c r="F659" t="s">
        <v>7</v>
      </c>
      <c r="G659" t="s">
        <v>69</v>
      </c>
      <c r="H659" t="s">
        <v>65</v>
      </c>
      <c r="I659">
        <v>2</v>
      </c>
    </row>
    <row r="660" spans="1:9" x14ac:dyDescent="0.25">
      <c r="A660" s="1">
        <v>680</v>
      </c>
      <c r="B660" s="2">
        <v>42601.504861111112</v>
      </c>
      <c r="C660" s="2" t="str">
        <f t="shared" si="12"/>
        <v>08</v>
      </c>
      <c r="D660" s="2">
        <v>42601.51666666667</v>
      </c>
      <c r="E660" s="2" t="str">
        <f t="shared" si="12"/>
        <v>08</v>
      </c>
      <c r="F660" t="s">
        <v>7</v>
      </c>
      <c r="G660" t="s">
        <v>65</v>
      </c>
      <c r="H660" t="s">
        <v>68</v>
      </c>
      <c r="I660">
        <v>5.7</v>
      </c>
    </row>
    <row r="661" spans="1:9" x14ac:dyDescent="0.25">
      <c r="A661" s="1">
        <v>681</v>
      </c>
      <c r="B661" s="2">
        <v>42601.660416666673</v>
      </c>
      <c r="C661" s="2" t="str">
        <f t="shared" si="12"/>
        <v>08</v>
      </c>
      <c r="D661" s="2">
        <v>42601.67083333333</v>
      </c>
      <c r="E661" s="2" t="str">
        <f t="shared" si="12"/>
        <v>08</v>
      </c>
      <c r="F661" t="s">
        <v>7</v>
      </c>
      <c r="G661" t="s">
        <v>68</v>
      </c>
      <c r="H661" t="s">
        <v>68</v>
      </c>
      <c r="I661">
        <v>3.2</v>
      </c>
    </row>
    <row r="662" spans="1:9" x14ac:dyDescent="0.25">
      <c r="A662" s="1">
        <v>682</v>
      </c>
      <c r="B662" s="2">
        <v>42601.716666666667</v>
      </c>
      <c r="C662" s="2" t="str">
        <f t="shared" si="12"/>
        <v>08</v>
      </c>
      <c r="D662" s="2">
        <v>42601.744444444441</v>
      </c>
      <c r="E662" s="2" t="str">
        <f t="shared" si="12"/>
        <v>08</v>
      </c>
      <c r="F662" t="s">
        <v>7</v>
      </c>
      <c r="G662" t="s">
        <v>68</v>
      </c>
      <c r="H662" t="s">
        <v>65</v>
      </c>
      <c r="I662">
        <v>12.5</v>
      </c>
    </row>
    <row r="663" spans="1:9" x14ac:dyDescent="0.25">
      <c r="A663" s="1">
        <v>685</v>
      </c>
      <c r="B663" s="2">
        <v>42603.6875</v>
      </c>
      <c r="C663" s="2" t="str">
        <f t="shared" si="12"/>
        <v>08</v>
      </c>
      <c r="D663" s="2">
        <v>42603.709722222222</v>
      </c>
      <c r="E663" s="2" t="str">
        <f t="shared" si="12"/>
        <v>08</v>
      </c>
      <c r="F663" t="s">
        <v>7</v>
      </c>
      <c r="G663" t="s">
        <v>65</v>
      </c>
      <c r="H663" t="s">
        <v>68</v>
      </c>
      <c r="I663">
        <v>12.2</v>
      </c>
    </row>
    <row r="664" spans="1:9" x14ac:dyDescent="0.25">
      <c r="A664" s="1">
        <v>686</v>
      </c>
      <c r="B664" s="2">
        <v>42603.756944444453</v>
      </c>
      <c r="C664" s="2" t="str">
        <f t="shared" si="12"/>
        <v>08</v>
      </c>
      <c r="D664" s="2">
        <v>42603.761805555558</v>
      </c>
      <c r="E664" s="2" t="str">
        <f t="shared" si="12"/>
        <v>08</v>
      </c>
      <c r="F664" t="s">
        <v>7</v>
      </c>
      <c r="G664" t="s">
        <v>68</v>
      </c>
      <c r="H664" t="s">
        <v>68</v>
      </c>
      <c r="I664">
        <v>1.4</v>
      </c>
    </row>
    <row r="665" spans="1:9" x14ac:dyDescent="0.25">
      <c r="A665" s="1">
        <v>687</v>
      </c>
      <c r="B665" s="2">
        <v>42603.783333333333</v>
      </c>
      <c r="C665" s="2" t="str">
        <f t="shared" si="12"/>
        <v>08</v>
      </c>
      <c r="D665" s="2">
        <v>42603.808333333327</v>
      </c>
      <c r="E665" s="2" t="str">
        <f t="shared" si="12"/>
        <v>08</v>
      </c>
      <c r="F665" t="s">
        <v>7</v>
      </c>
      <c r="G665" t="s">
        <v>68</v>
      </c>
      <c r="H665" t="s">
        <v>65</v>
      </c>
      <c r="I665">
        <v>20.2</v>
      </c>
    </row>
    <row r="666" spans="1:9" x14ac:dyDescent="0.25">
      <c r="A666" s="1">
        <v>688</v>
      </c>
      <c r="B666" s="2">
        <v>42604.416666666657</v>
      </c>
      <c r="C666" s="2" t="str">
        <f t="shared" si="12"/>
        <v>08</v>
      </c>
      <c r="D666" s="2">
        <v>42604.447222222218</v>
      </c>
      <c r="E666" s="2" t="str">
        <f t="shared" si="12"/>
        <v>08</v>
      </c>
      <c r="F666" t="s">
        <v>7</v>
      </c>
      <c r="G666" t="s">
        <v>65</v>
      </c>
      <c r="H666" t="s">
        <v>68</v>
      </c>
      <c r="I666">
        <v>9.8000000000000007</v>
      </c>
    </row>
    <row r="667" spans="1:9" x14ac:dyDescent="0.25">
      <c r="A667" s="1">
        <v>689</v>
      </c>
      <c r="B667" s="2">
        <v>42604.463194444441</v>
      </c>
      <c r="C667" s="2" t="str">
        <f t="shared" si="12"/>
        <v>08</v>
      </c>
      <c r="D667" s="2">
        <v>42604.474305555559</v>
      </c>
      <c r="E667" s="2" t="str">
        <f t="shared" si="12"/>
        <v>08</v>
      </c>
      <c r="F667" t="s">
        <v>7</v>
      </c>
      <c r="G667" t="s">
        <v>68</v>
      </c>
      <c r="H667" t="s">
        <v>65</v>
      </c>
      <c r="I667">
        <v>6.3</v>
      </c>
    </row>
    <row r="668" spans="1:9" x14ac:dyDescent="0.25">
      <c r="A668" s="1">
        <v>690</v>
      </c>
      <c r="B668" s="2">
        <v>42604.525000000001</v>
      </c>
      <c r="C668" s="2" t="str">
        <f t="shared" si="12"/>
        <v>08</v>
      </c>
      <c r="D668" s="2">
        <v>42604.53402777778</v>
      </c>
      <c r="E668" s="2" t="str">
        <f t="shared" si="12"/>
        <v>08</v>
      </c>
      <c r="F668" t="s">
        <v>7</v>
      </c>
      <c r="G668" t="s">
        <v>65</v>
      </c>
      <c r="H668" t="s">
        <v>68</v>
      </c>
      <c r="I668">
        <v>4.9000000000000004</v>
      </c>
    </row>
    <row r="669" spans="1:9" x14ac:dyDescent="0.25">
      <c r="A669" s="1">
        <v>691</v>
      </c>
      <c r="B669" s="2">
        <v>42604.543055555558</v>
      </c>
      <c r="C669" s="2" t="str">
        <f t="shared" si="12"/>
        <v>08</v>
      </c>
      <c r="D669" s="2">
        <v>42604.549305555563</v>
      </c>
      <c r="E669" s="2" t="str">
        <f t="shared" si="12"/>
        <v>08</v>
      </c>
      <c r="F669" t="s">
        <v>7</v>
      </c>
      <c r="G669" t="s">
        <v>68</v>
      </c>
      <c r="H669" t="s">
        <v>68</v>
      </c>
      <c r="I669">
        <v>1.5</v>
      </c>
    </row>
    <row r="670" spans="1:9" x14ac:dyDescent="0.25">
      <c r="A670" s="1">
        <v>692</v>
      </c>
      <c r="B670" s="2">
        <v>42604.588194444441</v>
      </c>
      <c r="C670" s="2" t="str">
        <f t="shared" si="12"/>
        <v>08</v>
      </c>
      <c r="D670" s="2">
        <v>42604.604861111111</v>
      </c>
      <c r="E670" s="2" t="str">
        <f t="shared" si="12"/>
        <v>08</v>
      </c>
      <c r="F670" t="s">
        <v>7</v>
      </c>
      <c r="G670" t="s">
        <v>68</v>
      </c>
      <c r="H670" t="s">
        <v>65</v>
      </c>
      <c r="I670">
        <v>10.9</v>
      </c>
    </row>
    <row r="671" spans="1:9" x14ac:dyDescent="0.25">
      <c r="A671" s="1">
        <v>695</v>
      </c>
      <c r="B671" s="2">
        <v>42604.831944444442</v>
      </c>
      <c r="C671" s="2" t="str">
        <f t="shared" si="12"/>
        <v>08</v>
      </c>
      <c r="D671" s="2">
        <v>42604.868055555547</v>
      </c>
      <c r="E671" s="2" t="str">
        <f t="shared" si="12"/>
        <v>08</v>
      </c>
      <c r="F671" t="s">
        <v>7</v>
      </c>
      <c r="G671" t="s">
        <v>65</v>
      </c>
      <c r="H671" t="s">
        <v>69</v>
      </c>
      <c r="I671">
        <v>7.9</v>
      </c>
    </row>
    <row r="672" spans="1:9" x14ac:dyDescent="0.25">
      <c r="A672" s="1">
        <v>696</v>
      </c>
      <c r="B672" s="2">
        <v>42604.870138888888</v>
      </c>
      <c r="C672" s="2" t="str">
        <f t="shared" si="12"/>
        <v>08</v>
      </c>
      <c r="D672" s="2">
        <v>42604.896527777782</v>
      </c>
      <c r="E672" s="2" t="str">
        <f t="shared" si="12"/>
        <v>08</v>
      </c>
      <c r="F672" t="s">
        <v>7</v>
      </c>
      <c r="G672" t="s">
        <v>69</v>
      </c>
      <c r="H672" t="s">
        <v>69</v>
      </c>
      <c r="I672">
        <v>4.0999999999999996</v>
      </c>
    </row>
    <row r="673" spans="1:9" x14ac:dyDescent="0.25">
      <c r="A673" s="1">
        <v>697</v>
      </c>
      <c r="B673" s="2">
        <v>42604.938194444447</v>
      </c>
      <c r="C673" s="2" t="str">
        <f t="shared" si="12"/>
        <v>08</v>
      </c>
      <c r="D673" s="2">
        <v>42604.958333333343</v>
      </c>
      <c r="E673" s="2" t="str">
        <f t="shared" si="12"/>
        <v>08</v>
      </c>
      <c r="F673" t="s">
        <v>7</v>
      </c>
      <c r="G673" t="s">
        <v>69</v>
      </c>
      <c r="H673" t="s">
        <v>65</v>
      </c>
      <c r="I673">
        <v>18.7</v>
      </c>
    </row>
    <row r="674" spans="1:9" x14ac:dyDescent="0.25">
      <c r="A674" s="1">
        <v>698</v>
      </c>
      <c r="B674" s="2">
        <v>42605.340277777781</v>
      </c>
      <c r="C674" s="2" t="str">
        <f t="shared" si="12"/>
        <v>08</v>
      </c>
      <c r="D674" s="2">
        <v>42605.350694444453</v>
      </c>
      <c r="E674" s="2" t="str">
        <f t="shared" si="12"/>
        <v>08</v>
      </c>
      <c r="F674" t="s">
        <v>7</v>
      </c>
      <c r="G674" t="s">
        <v>65</v>
      </c>
      <c r="H674" t="s">
        <v>70</v>
      </c>
      <c r="I674">
        <v>8.6999999999999993</v>
      </c>
    </row>
    <row r="675" spans="1:9" x14ac:dyDescent="0.25">
      <c r="A675" s="1">
        <v>699</v>
      </c>
      <c r="B675" s="2">
        <v>42605.399305555547</v>
      </c>
      <c r="C675" s="2" t="str">
        <f t="shared" si="12"/>
        <v>08</v>
      </c>
      <c r="D675" s="2">
        <v>42605.42291666667</v>
      </c>
      <c r="E675" s="2" t="str">
        <f t="shared" si="12"/>
        <v>08</v>
      </c>
      <c r="F675" t="s">
        <v>7</v>
      </c>
      <c r="G675" t="s">
        <v>70</v>
      </c>
      <c r="H675" t="s">
        <v>65</v>
      </c>
      <c r="I675">
        <v>7.5</v>
      </c>
    </row>
    <row r="676" spans="1:9" x14ac:dyDescent="0.25">
      <c r="A676" s="1">
        <v>700</v>
      </c>
      <c r="B676" s="2">
        <v>42605.540972222218</v>
      </c>
      <c r="C676" s="2" t="str">
        <f t="shared" si="12"/>
        <v>08</v>
      </c>
      <c r="D676" s="2">
        <v>42605.552083333343</v>
      </c>
      <c r="E676" s="2" t="str">
        <f t="shared" si="12"/>
        <v>08</v>
      </c>
      <c r="F676" t="s">
        <v>7</v>
      </c>
      <c r="G676" t="s">
        <v>65</v>
      </c>
      <c r="H676" t="s">
        <v>70</v>
      </c>
      <c r="I676">
        <v>7.7</v>
      </c>
    </row>
    <row r="677" spans="1:9" x14ac:dyDescent="0.25">
      <c r="A677" s="1">
        <v>701</v>
      </c>
      <c r="B677" s="2">
        <v>42605.554861111108</v>
      </c>
      <c r="C677" s="2" t="str">
        <f t="shared" si="12"/>
        <v>08</v>
      </c>
      <c r="D677" s="2">
        <v>42605.5625</v>
      </c>
      <c r="E677" s="2" t="str">
        <f t="shared" si="12"/>
        <v>08</v>
      </c>
      <c r="F677" t="s">
        <v>7</v>
      </c>
      <c r="G677" t="s">
        <v>70</v>
      </c>
      <c r="H677" t="s">
        <v>68</v>
      </c>
      <c r="I677">
        <v>4.4000000000000004</v>
      </c>
    </row>
    <row r="678" spans="1:9" x14ac:dyDescent="0.25">
      <c r="A678" s="1">
        <v>702</v>
      </c>
      <c r="B678" s="2">
        <v>42605.575694444437</v>
      </c>
      <c r="C678" s="2" t="str">
        <f t="shared" si="12"/>
        <v>08</v>
      </c>
      <c r="D678" s="2">
        <v>42605.586111111108</v>
      </c>
      <c r="E678" s="2" t="str">
        <f t="shared" si="12"/>
        <v>08</v>
      </c>
      <c r="F678" t="s">
        <v>7</v>
      </c>
      <c r="G678" t="s">
        <v>68</v>
      </c>
      <c r="H678" t="s">
        <v>65</v>
      </c>
      <c r="I678">
        <v>5</v>
      </c>
    </row>
    <row r="679" spans="1:9" x14ac:dyDescent="0.25">
      <c r="A679" s="1">
        <v>711</v>
      </c>
      <c r="B679" s="2">
        <v>42607.809027777781</v>
      </c>
      <c r="C679" s="2" t="str">
        <f t="shared" si="12"/>
        <v>08</v>
      </c>
      <c r="D679" s="2">
        <v>42607.831250000003</v>
      </c>
      <c r="E679" s="2" t="str">
        <f t="shared" si="12"/>
        <v>08</v>
      </c>
      <c r="F679" t="s">
        <v>7</v>
      </c>
      <c r="G679" t="s">
        <v>65</v>
      </c>
      <c r="H679" t="s">
        <v>187</v>
      </c>
      <c r="I679">
        <v>9.1999999999999993</v>
      </c>
    </row>
    <row r="680" spans="1:9" x14ac:dyDescent="0.25">
      <c r="A680" s="1">
        <v>712</v>
      </c>
      <c r="B680" s="2">
        <v>42607.956944444442</v>
      </c>
      <c r="C680" s="2" t="str">
        <f t="shared" si="12"/>
        <v>08</v>
      </c>
      <c r="D680" s="2">
        <v>42607.969444444447</v>
      </c>
      <c r="E680" s="2" t="str">
        <f t="shared" si="12"/>
        <v>08</v>
      </c>
      <c r="F680" t="s">
        <v>7</v>
      </c>
      <c r="G680" t="s">
        <v>187</v>
      </c>
      <c r="H680" t="s">
        <v>65</v>
      </c>
      <c r="I680">
        <v>7.3</v>
      </c>
    </row>
    <row r="681" spans="1:9" x14ac:dyDescent="0.25">
      <c r="A681" s="1">
        <v>715</v>
      </c>
      <c r="B681" s="2">
        <v>42608.506944444453</v>
      </c>
      <c r="C681" s="2" t="str">
        <f t="shared" si="12"/>
        <v>08</v>
      </c>
      <c r="D681" s="2">
        <v>42608.513888888891</v>
      </c>
      <c r="E681" s="2" t="str">
        <f t="shared" si="12"/>
        <v>08</v>
      </c>
      <c r="F681" t="s">
        <v>7</v>
      </c>
      <c r="G681" t="s">
        <v>65</v>
      </c>
      <c r="H681" t="s">
        <v>187</v>
      </c>
      <c r="I681">
        <v>3.9</v>
      </c>
    </row>
    <row r="682" spans="1:9" x14ac:dyDescent="0.25">
      <c r="A682" s="1">
        <v>716</v>
      </c>
      <c r="B682" s="2">
        <v>42608.590277777781</v>
      </c>
      <c r="C682" s="2" t="str">
        <f t="shared" si="12"/>
        <v>08</v>
      </c>
      <c r="D682" s="2">
        <v>42608.606249999997</v>
      </c>
      <c r="E682" s="2" t="str">
        <f t="shared" si="12"/>
        <v>08</v>
      </c>
      <c r="F682" t="s">
        <v>7</v>
      </c>
      <c r="G682" t="s">
        <v>187</v>
      </c>
      <c r="H682" t="s">
        <v>187</v>
      </c>
      <c r="I682">
        <v>7.4</v>
      </c>
    </row>
    <row r="683" spans="1:9" x14ac:dyDescent="0.25">
      <c r="A683" s="1">
        <v>717</v>
      </c>
      <c r="B683" s="2">
        <v>42608.640972222223</v>
      </c>
      <c r="C683" s="2" t="str">
        <f t="shared" si="12"/>
        <v>08</v>
      </c>
      <c r="D683" s="2">
        <v>42608.649305555547</v>
      </c>
      <c r="E683" s="2" t="str">
        <f t="shared" si="12"/>
        <v>08</v>
      </c>
      <c r="F683" t="s">
        <v>7</v>
      </c>
      <c r="G683" t="s">
        <v>187</v>
      </c>
      <c r="H683" t="s">
        <v>187</v>
      </c>
      <c r="I683">
        <v>1.5</v>
      </c>
    </row>
    <row r="684" spans="1:9" x14ac:dyDescent="0.25">
      <c r="A684" s="1">
        <v>718</v>
      </c>
      <c r="B684" s="2">
        <v>42608.665972222218</v>
      </c>
      <c r="C684" s="2" t="str">
        <f t="shared" si="12"/>
        <v>08</v>
      </c>
      <c r="D684" s="2">
        <v>42608.683333333327</v>
      </c>
      <c r="E684" s="2" t="str">
        <f t="shared" si="12"/>
        <v>08</v>
      </c>
      <c r="F684" t="s">
        <v>7</v>
      </c>
      <c r="G684" t="s">
        <v>187</v>
      </c>
      <c r="H684" t="s">
        <v>65</v>
      </c>
      <c r="I684">
        <v>7.9</v>
      </c>
    </row>
    <row r="685" spans="1:9" x14ac:dyDescent="0.25">
      <c r="A685" s="1">
        <v>719</v>
      </c>
      <c r="B685" s="2">
        <v>42608.704861111109</v>
      </c>
      <c r="C685" s="2" t="str">
        <f t="shared" si="12"/>
        <v>08</v>
      </c>
      <c r="D685" s="2">
        <v>42608.716666666667</v>
      </c>
      <c r="E685" s="2" t="str">
        <f t="shared" si="12"/>
        <v>08</v>
      </c>
      <c r="F685" t="s">
        <v>7</v>
      </c>
      <c r="G685" t="s">
        <v>65</v>
      </c>
      <c r="H685" t="s">
        <v>187</v>
      </c>
      <c r="I685">
        <v>2.9</v>
      </c>
    </row>
    <row r="686" spans="1:9" x14ac:dyDescent="0.25">
      <c r="A686" s="1">
        <v>720</v>
      </c>
      <c r="B686" s="2">
        <v>42608.779166666667</v>
      </c>
      <c r="C686" s="2" t="str">
        <f t="shared" si="12"/>
        <v>08</v>
      </c>
      <c r="D686" s="2">
        <v>42608.788888888892</v>
      </c>
      <c r="E686" s="2" t="str">
        <f t="shared" si="12"/>
        <v>08</v>
      </c>
      <c r="F686" t="s">
        <v>7</v>
      </c>
      <c r="G686" t="s">
        <v>187</v>
      </c>
      <c r="H686" t="s">
        <v>187</v>
      </c>
      <c r="I686">
        <v>3.4</v>
      </c>
    </row>
    <row r="687" spans="1:9" x14ac:dyDescent="0.25">
      <c r="A687" s="1">
        <v>721</v>
      </c>
      <c r="B687" s="2">
        <v>42608.813194444447</v>
      </c>
      <c r="C687" s="2" t="str">
        <f t="shared" si="12"/>
        <v>08</v>
      </c>
      <c r="D687" s="2">
        <v>42608.82916666667</v>
      </c>
      <c r="E687" s="2" t="str">
        <f t="shared" si="12"/>
        <v>08</v>
      </c>
      <c r="F687" t="s">
        <v>7</v>
      </c>
      <c r="G687" t="s">
        <v>187</v>
      </c>
      <c r="H687" t="s">
        <v>187</v>
      </c>
      <c r="I687">
        <v>3.8</v>
      </c>
    </row>
    <row r="688" spans="1:9" x14ac:dyDescent="0.25">
      <c r="A688" s="1">
        <v>722</v>
      </c>
      <c r="B688" s="2">
        <v>42608.837500000001</v>
      </c>
      <c r="C688" s="2" t="str">
        <f t="shared" si="12"/>
        <v>08</v>
      </c>
      <c r="D688" s="2">
        <v>42608.844444444447</v>
      </c>
      <c r="E688" s="2" t="str">
        <f t="shared" si="12"/>
        <v>08</v>
      </c>
      <c r="F688" t="s">
        <v>7</v>
      </c>
      <c r="G688" t="s">
        <v>187</v>
      </c>
      <c r="H688" t="s">
        <v>65</v>
      </c>
      <c r="I688">
        <v>5.9</v>
      </c>
    </row>
    <row r="689" spans="1:10" x14ac:dyDescent="0.25">
      <c r="A689" s="1">
        <v>723</v>
      </c>
      <c r="B689" s="2">
        <v>42609.398611111108</v>
      </c>
      <c r="C689" s="2" t="str">
        <f t="shared" si="12"/>
        <v>08</v>
      </c>
      <c r="D689" s="2">
        <v>42609.424305555563</v>
      </c>
      <c r="E689" s="2" t="str">
        <f t="shared" si="12"/>
        <v>08</v>
      </c>
      <c r="F689" t="s">
        <v>7</v>
      </c>
      <c r="G689" t="s">
        <v>65</v>
      </c>
      <c r="H689" t="s">
        <v>187</v>
      </c>
      <c r="I689">
        <v>9.6</v>
      </c>
    </row>
    <row r="690" spans="1:10" x14ac:dyDescent="0.25">
      <c r="A690" s="1">
        <v>724</v>
      </c>
      <c r="B690" s="2">
        <v>42609.490972222222</v>
      </c>
      <c r="C690" s="2" t="str">
        <f t="shared" si="12"/>
        <v>08</v>
      </c>
      <c r="D690" s="2">
        <v>42609.504166666673</v>
      </c>
      <c r="E690" s="2" t="str">
        <f t="shared" si="12"/>
        <v>08</v>
      </c>
      <c r="F690" t="s">
        <v>7</v>
      </c>
      <c r="G690" t="s">
        <v>187</v>
      </c>
      <c r="H690" t="s">
        <v>187</v>
      </c>
      <c r="I690">
        <v>7</v>
      </c>
    </row>
    <row r="691" spans="1:10" x14ac:dyDescent="0.25">
      <c r="A691" s="1">
        <v>725</v>
      </c>
      <c r="B691" s="2">
        <v>42609.508333333331</v>
      </c>
      <c r="C691" s="2" t="str">
        <f t="shared" si="12"/>
        <v>08</v>
      </c>
      <c r="D691" s="2">
        <v>42609.511805555558</v>
      </c>
      <c r="E691" s="2" t="str">
        <f t="shared" si="12"/>
        <v>08</v>
      </c>
      <c r="F691" t="s">
        <v>7</v>
      </c>
      <c r="G691" t="s">
        <v>187</v>
      </c>
      <c r="H691" t="s">
        <v>187</v>
      </c>
      <c r="I691">
        <v>0.9</v>
      </c>
    </row>
    <row r="692" spans="1:10" x14ac:dyDescent="0.25">
      <c r="A692" s="1">
        <v>726</v>
      </c>
      <c r="B692" s="2">
        <v>42609.584027777782</v>
      </c>
      <c r="C692" s="2" t="str">
        <f t="shared" si="12"/>
        <v>08</v>
      </c>
      <c r="D692" s="2">
        <v>42609.655555555553</v>
      </c>
      <c r="E692" s="2" t="str">
        <f t="shared" si="12"/>
        <v>08</v>
      </c>
      <c r="F692" t="s">
        <v>7</v>
      </c>
      <c r="G692" t="s">
        <v>187</v>
      </c>
      <c r="H692" t="s">
        <v>65</v>
      </c>
      <c r="I692">
        <v>86.6</v>
      </c>
    </row>
    <row r="693" spans="1:10" x14ac:dyDescent="0.25">
      <c r="A693" s="1">
        <v>728</v>
      </c>
      <c r="B693" s="2">
        <v>42610.414583333331</v>
      </c>
      <c r="C693" s="2" t="str">
        <f t="shared" si="12"/>
        <v>08</v>
      </c>
      <c r="D693" s="2">
        <v>42610.429166666669</v>
      </c>
      <c r="E693" s="2" t="str">
        <f t="shared" si="12"/>
        <v>08</v>
      </c>
      <c r="F693" t="s">
        <v>7</v>
      </c>
      <c r="G693" t="s">
        <v>65</v>
      </c>
      <c r="H693" t="s">
        <v>70</v>
      </c>
      <c r="I693">
        <v>10.1</v>
      </c>
    </row>
    <row r="694" spans="1:10" x14ac:dyDescent="0.25">
      <c r="A694" s="1">
        <v>729</v>
      </c>
      <c r="B694" s="2">
        <v>42610.693749999999</v>
      </c>
      <c r="C694" s="2" t="str">
        <f t="shared" si="12"/>
        <v>08</v>
      </c>
      <c r="D694" s="2">
        <v>42610.704861111109</v>
      </c>
      <c r="E694" s="2" t="str">
        <f t="shared" si="12"/>
        <v>08</v>
      </c>
      <c r="F694" t="s">
        <v>7</v>
      </c>
      <c r="G694" t="s">
        <v>70</v>
      </c>
      <c r="H694" t="s">
        <v>68</v>
      </c>
      <c r="I694">
        <v>6.2</v>
      </c>
    </row>
    <row r="695" spans="1:10" x14ac:dyDescent="0.25">
      <c r="A695" s="1">
        <v>730</v>
      </c>
      <c r="B695" s="2">
        <v>42610.734027777777</v>
      </c>
      <c r="C695" s="2" t="str">
        <f t="shared" si="12"/>
        <v>08</v>
      </c>
      <c r="D695" s="2">
        <v>42610.746527777781</v>
      </c>
      <c r="E695" s="2" t="str">
        <f t="shared" si="12"/>
        <v>08</v>
      </c>
      <c r="F695" t="s">
        <v>7</v>
      </c>
      <c r="G695" t="s">
        <v>68</v>
      </c>
      <c r="H695" t="s">
        <v>68</v>
      </c>
      <c r="I695">
        <v>5.3</v>
      </c>
    </row>
    <row r="696" spans="1:10" x14ac:dyDescent="0.25">
      <c r="A696" s="1">
        <v>731</v>
      </c>
      <c r="B696" s="2">
        <v>42610.885416666657</v>
      </c>
      <c r="C696" s="2" t="str">
        <f t="shared" si="12"/>
        <v>08</v>
      </c>
      <c r="D696" s="2">
        <v>42610.915972222218</v>
      </c>
      <c r="E696" s="2" t="str">
        <f t="shared" si="12"/>
        <v>08</v>
      </c>
      <c r="F696" t="s">
        <v>7</v>
      </c>
      <c r="G696" t="s">
        <v>68</v>
      </c>
      <c r="H696" t="s">
        <v>65</v>
      </c>
      <c r="I696">
        <v>12.1</v>
      </c>
    </row>
    <row r="697" spans="1:10" x14ac:dyDescent="0.25">
      <c r="A697" s="1">
        <v>732</v>
      </c>
      <c r="B697" s="2">
        <v>42611.501388888893</v>
      </c>
      <c r="C697" s="2" t="str">
        <f t="shared" si="12"/>
        <v>08</v>
      </c>
      <c r="D697" s="2">
        <v>42611.521527777782</v>
      </c>
      <c r="E697" s="2" t="str">
        <f t="shared" si="12"/>
        <v>08</v>
      </c>
      <c r="F697" t="s">
        <v>7</v>
      </c>
      <c r="G697" t="s">
        <v>65</v>
      </c>
      <c r="H697" t="s">
        <v>68</v>
      </c>
      <c r="I697">
        <v>10.8</v>
      </c>
    </row>
    <row r="698" spans="1:10" x14ac:dyDescent="0.25">
      <c r="A698" s="1">
        <v>733</v>
      </c>
      <c r="B698" s="2">
        <v>42611.568055555559</v>
      </c>
      <c r="C698" s="2" t="str">
        <f t="shared" si="12"/>
        <v>08</v>
      </c>
      <c r="D698" s="2">
        <v>42611.574999999997</v>
      </c>
      <c r="E698" s="2" t="str">
        <f t="shared" si="12"/>
        <v>08</v>
      </c>
      <c r="F698" t="s">
        <v>7</v>
      </c>
      <c r="G698" t="s">
        <v>68</v>
      </c>
      <c r="H698" t="s">
        <v>68</v>
      </c>
      <c r="I698">
        <v>4.3</v>
      </c>
    </row>
    <row r="699" spans="1:10" x14ac:dyDescent="0.25">
      <c r="A699" s="1">
        <v>734</v>
      </c>
      <c r="B699" s="2">
        <v>42611.604861111111</v>
      </c>
      <c r="C699" s="2" t="str">
        <f t="shared" si="12"/>
        <v>08</v>
      </c>
      <c r="D699" s="2">
        <v>42611.611805555563</v>
      </c>
      <c r="E699" s="2" t="str">
        <f t="shared" si="12"/>
        <v>08</v>
      </c>
      <c r="F699" t="s">
        <v>7</v>
      </c>
      <c r="G699" t="s">
        <v>68</v>
      </c>
      <c r="H699" t="s">
        <v>68</v>
      </c>
      <c r="I699">
        <v>2.5</v>
      </c>
    </row>
    <row r="700" spans="1:10" x14ac:dyDescent="0.25">
      <c r="A700" s="1">
        <v>735</v>
      </c>
      <c r="B700" s="2">
        <v>42611.617361111108</v>
      </c>
      <c r="C700" s="2" t="str">
        <f t="shared" si="12"/>
        <v>08</v>
      </c>
      <c r="D700" s="2">
        <v>42611.62777777778</v>
      </c>
      <c r="E700" s="2" t="str">
        <f t="shared" si="12"/>
        <v>08</v>
      </c>
      <c r="F700" t="s">
        <v>7</v>
      </c>
      <c r="G700" t="s">
        <v>68</v>
      </c>
      <c r="H700" t="s">
        <v>65</v>
      </c>
      <c r="I700">
        <v>5.7</v>
      </c>
      <c r="J700" t="s">
        <v>24</v>
      </c>
    </row>
    <row r="701" spans="1:10" x14ac:dyDescent="0.25">
      <c r="A701" s="1">
        <v>736</v>
      </c>
      <c r="B701" s="2">
        <v>42611.65902777778</v>
      </c>
      <c r="C701" s="2" t="str">
        <f t="shared" si="12"/>
        <v>08</v>
      </c>
      <c r="D701" s="2">
        <v>42611.665972222218</v>
      </c>
      <c r="E701" s="2" t="str">
        <f t="shared" si="12"/>
        <v>08</v>
      </c>
      <c r="F701" t="s">
        <v>7</v>
      </c>
      <c r="G701" t="s">
        <v>65</v>
      </c>
      <c r="H701" t="s">
        <v>68</v>
      </c>
      <c r="I701">
        <v>2.8</v>
      </c>
    </row>
    <row r="702" spans="1:10" x14ac:dyDescent="0.25">
      <c r="A702" s="1">
        <v>737</v>
      </c>
      <c r="B702" s="2">
        <v>42611.67083333333</v>
      </c>
      <c r="C702" s="2" t="str">
        <f t="shared" si="12"/>
        <v>08</v>
      </c>
      <c r="D702" s="2">
        <v>42611.681250000001</v>
      </c>
      <c r="E702" s="2" t="str">
        <f t="shared" si="12"/>
        <v>08</v>
      </c>
      <c r="F702" t="s">
        <v>7</v>
      </c>
      <c r="G702" t="s">
        <v>68</v>
      </c>
      <c r="H702" t="s">
        <v>65</v>
      </c>
      <c r="I702">
        <v>4</v>
      </c>
    </row>
    <row r="703" spans="1:10" x14ac:dyDescent="0.25">
      <c r="A703" s="1">
        <v>738</v>
      </c>
      <c r="B703" s="2">
        <v>42611.724999999999</v>
      </c>
      <c r="C703" s="2" t="str">
        <f t="shared" si="12"/>
        <v>08</v>
      </c>
      <c r="D703" s="2">
        <v>42611.736805555563</v>
      </c>
      <c r="E703" s="2" t="str">
        <f t="shared" si="12"/>
        <v>08</v>
      </c>
      <c r="F703" t="s">
        <v>7</v>
      </c>
      <c r="G703" t="s">
        <v>65</v>
      </c>
      <c r="H703" t="s">
        <v>68</v>
      </c>
      <c r="I703">
        <v>5.5</v>
      </c>
    </row>
    <row r="704" spans="1:10" x14ac:dyDescent="0.25">
      <c r="A704" s="1">
        <v>739</v>
      </c>
      <c r="B704" s="2">
        <v>42611.768750000003</v>
      </c>
      <c r="C704" s="2" t="str">
        <f t="shared" si="12"/>
        <v>08</v>
      </c>
      <c r="D704" s="2">
        <v>42611.775000000001</v>
      </c>
      <c r="E704" s="2" t="str">
        <f t="shared" si="12"/>
        <v>08</v>
      </c>
      <c r="F704" t="s">
        <v>7</v>
      </c>
      <c r="G704" t="s">
        <v>68</v>
      </c>
      <c r="H704" t="s">
        <v>68</v>
      </c>
      <c r="I704">
        <v>2.6</v>
      </c>
    </row>
    <row r="705" spans="1:9" x14ac:dyDescent="0.25">
      <c r="A705" s="1">
        <v>741</v>
      </c>
      <c r="B705" s="2">
        <v>42612.531944444447</v>
      </c>
      <c r="C705" s="2" t="str">
        <f t="shared" si="12"/>
        <v>08</v>
      </c>
      <c r="D705" s="2">
        <v>42612.54791666667</v>
      </c>
      <c r="E705" s="2" t="str">
        <f t="shared" si="12"/>
        <v>08</v>
      </c>
      <c r="F705" t="s">
        <v>7</v>
      </c>
      <c r="G705" t="s">
        <v>65</v>
      </c>
      <c r="H705" t="s">
        <v>68</v>
      </c>
      <c r="I705">
        <v>8.8000000000000007</v>
      </c>
    </row>
    <row r="706" spans="1:9" x14ac:dyDescent="0.25">
      <c r="A706" s="1">
        <v>742</v>
      </c>
      <c r="B706" s="2">
        <v>42612.559027777781</v>
      </c>
      <c r="C706" s="2" t="str">
        <f t="shared" si="12"/>
        <v>08</v>
      </c>
      <c r="D706" s="2">
        <v>42612.573611111111</v>
      </c>
      <c r="E706" s="2" t="str">
        <f t="shared" si="12"/>
        <v>08</v>
      </c>
      <c r="F706" t="s">
        <v>7</v>
      </c>
      <c r="G706" t="s">
        <v>68</v>
      </c>
      <c r="H706" t="s">
        <v>68</v>
      </c>
      <c r="I706">
        <v>4.4000000000000004</v>
      </c>
    </row>
    <row r="707" spans="1:9" x14ac:dyDescent="0.25">
      <c r="A707" s="1">
        <v>743</v>
      </c>
      <c r="B707" s="2">
        <v>42612.583333333343</v>
      </c>
      <c r="C707" s="2" t="str">
        <f t="shared" ref="C707:E770" si="13" xml:space="preserve"> TEXT(B707, "mm")</f>
        <v>08</v>
      </c>
      <c r="D707" s="2">
        <v>42612.597222222219</v>
      </c>
      <c r="E707" s="2" t="str">
        <f t="shared" si="13"/>
        <v>08</v>
      </c>
      <c r="F707" t="s">
        <v>7</v>
      </c>
      <c r="G707" t="s">
        <v>68</v>
      </c>
      <c r="H707" t="s">
        <v>65</v>
      </c>
      <c r="I707">
        <v>5.3</v>
      </c>
    </row>
    <row r="708" spans="1:9" x14ac:dyDescent="0.25">
      <c r="A708" s="1">
        <v>745</v>
      </c>
      <c r="B708" s="2">
        <v>42614.493750000001</v>
      </c>
      <c r="C708" s="2" t="str">
        <f t="shared" si="13"/>
        <v>09</v>
      </c>
      <c r="D708" s="2">
        <v>42614.51666666667</v>
      </c>
      <c r="E708" s="2" t="str">
        <f t="shared" si="13"/>
        <v>09</v>
      </c>
      <c r="F708" t="s">
        <v>7</v>
      </c>
      <c r="G708" t="s">
        <v>65</v>
      </c>
      <c r="H708" t="s">
        <v>68</v>
      </c>
      <c r="I708">
        <v>13</v>
      </c>
    </row>
    <row r="709" spans="1:9" x14ac:dyDescent="0.25">
      <c r="A709" s="1">
        <v>746</v>
      </c>
      <c r="B709" s="2">
        <v>42614.722916666673</v>
      </c>
      <c r="C709" s="2" t="str">
        <f t="shared" si="13"/>
        <v>09</v>
      </c>
      <c r="D709" s="2">
        <v>42614.73333333333</v>
      </c>
      <c r="E709" s="2" t="str">
        <f t="shared" si="13"/>
        <v>09</v>
      </c>
      <c r="F709" t="s">
        <v>7</v>
      </c>
      <c r="G709" t="s">
        <v>68</v>
      </c>
      <c r="H709" t="s">
        <v>65</v>
      </c>
      <c r="I709">
        <v>10.6</v>
      </c>
    </row>
    <row r="710" spans="1:9" x14ac:dyDescent="0.25">
      <c r="A710" s="1">
        <v>748</v>
      </c>
      <c r="B710" s="2">
        <v>42615.484027777777</v>
      </c>
      <c r="C710" s="2" t="str">
        <f t="shared" si="13"/>
        <v>09</v>
      </c>
      <c r="D710" s="2">
        <v>42615.51666666667</v>
      </c>
      <c r="E710" s="2" t="str">
        <f t="shared" si="13"/>
        <v>09</v>
      </c>
      <c r="F710" t="s">
        <v>7</v>
      </c>
      <c r="G710" t="s">
        <v>65</v>
      </c>
      <c r="H710" t="s">
        <v>68</v>
      </c>
      <c r="I710">
        <v>9.1999999999999993</v>
      </c>
    </row>
    <row r="711" spans="1:9" x14ac:dyDescent="0.25">
      <c r="A711" s="1">
        <v>750</v>
      </c>
      <c r="B711" s="2">
        <v>42618.434027777781</v>
      </c>
      <c r="C711" s="2" t="str">
        <f t="shared" si="13"/>
        <v>09</v>
      </c>
      <c r="D711" s="2">
        <v>42618.447222222218</v>
      </c>
      <c r="E711" s="2" t="str">
        <f t="shared" si="13"/>
        <v>09</v>
      </c>
      <c r="F711" t="s">
        <v>7</v>
      </c>
      <c r="G711" t="s">
        <v>65</v>
      </c>
      <c r="H711" t="s">
        <v>69</v>
      </c>
      <c r="I711">
        <v>17.2</v>
      </c>
    </row>
    <row r="712" spans="1:9" x14ac:dyDescent="0.25">
      <c r="A712" s="1">
        <v>763</v>
      </c>
      <c r="B712" s="2">
        <v>42632.262499999997</v>
      </c>
      <c r="C712" s="2" t="str">
        <f t="shared" si="13"/>
        <v>09</v>
      </c>
      <c r="D712" s="2">
        <v>42632.28402777778</v>
      </c>
      <c r="E712" s="2" t="str">
        <f t="shared" si="13"/>
        <v>09</v>
      </c>
      <c r="F712" t="s">
        <v>7</v>
      </c>
      <c r="G712" t="s">
        <v>69</v>
      </c>
      <c r="H712" t="s">
        <v>65</v>
      </c>
      <c r="I712">
        <v>18.2</v>
      </c>
    </row>
    <row r="713" spans="1:9" x14ac:dyDescent="0.25">
      <c r="A713" s="1">
        <v>764</v>
      </c>
      <c r="B713" s="2">
        <v>42632.611111111109</v>
      </c>
      <c r="C713" s="2" t="str">
        <f t="shared" si="13"/>
        <v>09</v>
      </c>
      <c r="D713" s="2">
        <v>42632.62222222222</v>
      </c>
      <c r="E713" s="2" t="str">
        <f t="shared" si="13"/>
        <v>09</v>
      </c>
      <c r="F713" t="s">
        <v>7</v>
      </c>
      <c r="G713" t="s">
        <v>65</v>
      </c>
      <c r="H713" t="s">
        <v>68</v>
      </c>
      <c r="I713">
        <v>10.5</v>
      </c>
    </row>
    <row r="714" spans="1:9" x14ac:dyDescent="0.25">
      <c r="A714" s="1">
        <v>765</v>
      </c>
      <c r="B714" s="2">
        <v>42632.682638888888</v>
      </c>
      <c r="C714" s="2" t="str">
        <f t="shared" si="13"/>
        <v>09</v>
      </c>
      <c r="D714" s="2">
        <v>42632.688194444447</v>
      </c>
      <c r="E714" s="2" t="str">
        <f t="shared" si="13"/>
        <v>09</v>
      </c>
      <c r="F714" t="s">
        <v>7</v>
      </c>
      <c r="G714" t="s">
        <v>68</v>
      </c>
      <c r="H714" t="s">
        <v>65</v>
      </c>
      <c r="I714">
        <v>5.7</v>
      </c>
    </row>
    <row r="715" spans="1:9" x14ac:dyDescent="0.25">
      <c r="A715" s="1">
        <v>767</v>
      </c>
      <c r="B715" s="2">
        <v>42632.798611111109</v>
      </c>
      <c r="C715" s="2" t="str">
        <f t="shared" si="13"/>
        <v>09</v>
      </c>
      <c r="D715" s="2">
        <v>42632.825694444437</v>
      </c>
      <c r="E715" s="2" t="str">
        <f t="shared" si="13"/>
        <v>09</v>
      </c>
      <c r="F715" t="s">
        <v>7</v>
      </c>
      <c r="G715" t="s">
        <v>65</v>
      </c>
      <c r="H715" t="s">
        <v>68</v>
      </c>
      <c r="I715">
        <v>18.3</v>
      </c>
    </row>
    <row r="716" spans="1:9" x14ac:dyDescent="0.25">
      <c r="A716" s="1">
        <v>768</v>
      </c>
      <c r="B716" s="2">
        <v>42633.478472222218</v>
      </c>
      <c r="C716" s="2" t="str">
        <f t="shared" si="13"/>
        <v>09</v>
      </c>
      <c r="D716" s="2">
        <v>42633.491666666669</v>
      </c>
      <c r="E716" s="2" t="str">
        <f t="shared" si="13"/>
        <v>09</v>
      </c>
      <c r="F716" t="s">
        <v>7</v>
      </c>
      <c r="G716" t="s">
        <v>68</v>
      </c>
      <c r="H716" t="s">
        <v>65</v>
      </c>
      <c r="I716">
        <v>16.5</v>
      </c>
    </row>
    <row r="717" spans="1:9" x14ac:dyDescent="0.25">
      <c r="A717" s="1">
        <v>769</v>
      </c>
      <c r="B717" s="2">
        <v>42633.865972222222</v>
      </c>
      <c r="C717" s="2" t="str">
        <f t="shared" si="13"/>
        <v>09</v>
      </c>
      <c r="D717" s="2">
        <v>42633.949305555558</v>
      </c>
      <c r="E717" s="2" t="str">
        <f t="shared" si="13"/>
        <v>09</v>
      </c>
      <c r="F717" t="s">
        <v>7</v>
      </c>
      <c r="G717" t="s">
        <v>65</v>
      </c>
      <c r="H717" t="s">
        <v>69</v>
      </c>
      <c r="I717">
        <v>9.6</v>
      </c>
    </row>
    <row r="718" spans="1:9" x14ac:dyDescent="0.25">
      <c r="A718" s="1">
        <v>770</v>
      </c>
      <c r="B718" s="2">
        <v>42636.552083333343</v>
      </c>
      <c r="C718" s="2" t="str">
        <f t="shared" si="13"/>
        <v>09</v>
      </c>
      <c r="D718" s="2">
        <v>42636.569444444453</v>
      </c>
      <c r="E718" s="2" t="str">
        <f t="shared" si="13"/>
        <v>09</v>
      </c>
      <c r="F718" t="s">
        <v>7</v>
      </c>
      <c r="G718" t="s">
        <v>188</v>
      </c>
      <c r="H718" t="s">
        <v>188</v>
      </c>
      <c r="I718">
        <v>2.9</v>
      </c>
    </row>
    <row r="719" spans="1:9" x14ac:dyDescent="0.25">
      <c r="A719" s="1">
        <v>771</v>
      </c>
      <c r="B719" s="2">
        <v>42637.606944444437</v>
      </c>
      <c r="C719" s="2" t="str">
        <f t="shared" si="13"/>
        <v>09</v>
      </c>
      <c r="D719" s="2">
        <v>42637.635416666657</v>
      </c>
      <c r="E719" s="2" t="str">
        <f t="shared" si="13"/>
        <v>09</v>
      </c>
      <c r="F719" t="s">
        <v>7</v>
      </c>
      <c r="G719" t="s">
        <v>188</v>
      </c>
      <c r="H719" t="s">
        <v>65</v>
      </c>
      <c r="I719">
        <v>8.1999999999999993</v>
      </c>
    </row>
    <row r="720" spans="1:9" x14ac:dyDescent="0.25">
      <c r="A720" s="1">
        <v>774</v>
      </c>
      <c r="B720" s="2">
        <v>42640.556250000001</v>
      </c>
      <c r="C720" s="2" t="str">
        <f t="shared" si="13"/>
        <v>09</v>
      </c>
      <c r="D720" s="2">
        <v>42640.613194444442</v>
      </c>
      <c r="E720" s="2" t="str">
        <f t="shared" si="13"/>
        <v>09</v>
      </c>
      <c r="F720" t="s">
        <v>7</v>
      </c>
      <c r="G720" t="s">
        <v>187</v>
      </c>
      <c r="H720" t="s">
        <v>187</v>
      </c>
      <c r="I720">
        <v>9.8000000000000007</v>
      </c>
    </row>
    <row r="721" spans="1:9" x14ac:dyDescent="0.25">
      <c r="A721" s="1">
        <v>775</v>
      </c>
      <c r="B721" s="2">
        <v>42640.801388888889</v>
      </c>
      <c r="C721" s="2" t="str">
        <f t="shared" si="13"/>
        <v>09</v>
      </c>
      <c r="D721" s="2">
        <v>42640.856944444437</v>
      </c>
      <c r="E721" s="2" t="str">
        <f t="shared" si="13"/>
        <v>09</v>
      </c>
      <c r="F721" t="s">
        <v>7</v>
      </c>
      <c r="G721" t="s">
        <v>187</v>
      </c>
      <c r="H721" t="s">
        <v>65</v>
      </c>
      <c r="I721">
        <v>7.3</v>
      </c>
    </row>
    <row r="722" spans="1:9" x14ac:dyDescent="0.25">
      <c r="A722" s="1">
        <v>777</v>
      </c>
      <c r="B722" s="2">
        <v>42641.722916666673</v>
      </c>
      <c r="C722" s="2" t="str">
        <f t="shared" si="13"/>
        <v>09</v>
      </c>
      <c r="D722" s="2">
        <v>42641.816666666673</v>
      </c>
      <c r="E722" s="2" t="str">
        <f t="shared" si="13"/>
        <v>09</v>
      </c>
      <c r="F722" t="s">
        <v>7</v>
      </c>
      <c r="G722" t="s">
        <v>68</v>
      </c>
      <c r="H722" t="s">
        <v>65</v>
      </c>
      <c r="I722">
        <v>20.5</v>
      </c>
    </row>
    <row r="723" spans="1:9" x14ac:dyDescent="0.25">
      <c r="A723" s="1">
        <v>778</v>
      </c>
      <c r="B723" s="2">
        <v>42642.675694444442</v>
      </c>
      <c r="C723" s="2" t="str">
        <f t="shared" si="13"/>
        <v>09</v>
      </c>
      <c r="D723" s="2">
        <v>42642.782638888893</v>
      </c>
      <c r="E723" s="2" t="str">
        <f t="shared" si="13"/>
        <v>09</v>
      </c>
      <c r="F723" t="s">
        <v>7</v>
      </c>
      <c r="G723" t="s">
        <v>65</v>
      </c>
      <c r="H723" t="s">
        <v>68</v>
      </c>
      <c r="I723">
        <v>12.6</v>
      </c>
    </row>
    <row r="724" spans="1:9" x14ac:dyDescent="0.25">
      <c r="A724" s="1">
        <v>779</v>
      </c>
      <c r="B724" s="2">
        <v>42643.73541666667</v>
      </c>
      <c r="C724" s="2" t="str">
        <f t="shared" si="13"/>
        <v>09</v>
      </c>
      <c r="D724" s="2">
        <v>42643.847222222219</v>
      </c>
      <c r="E724" s="2" t="str">
        <f t="shared" si="13"/>
        <v>09</v>
      </c>
      <c r="F724" t="s">
        <v>7</v>
      </c>
      <c r="G724" t="s">
        <v>68</v>
      </c>
      <c r="H724" t="s">
        <v>68</v>
      </c>
      <c r="I724">
        <v>37.700000000000003</v>
      </c>
    </row>
    <row r="725" spans="1:9" x14ac:dyDescent="0.25">
      <c r="A725" s="1">
        <v>780</v>
      </c>
      <c r="B725" s="2">
        <v>42643.874305555553</v>
      </c>
      <c r="C725" s="2" t="str">
        <f t="shared" si="13"/>
        <v>09</v>
      </c>
      <c r="D725" s="2">
        <v>42643.94027777778</v>
      </c>
      <c r="E725" s="2" t="str">
        <f t="shared" si="13"/>
        <v>09</v>
      </c>
      <c r="F725" t="s">
        <v>7</v>
      </c>
      <c r="G725" t="s">
        <v>68</v>
      </c>
      <c r="H725" t="s">
        <v>65</v>
      </c>
      <c r="I725">
        <v>16.7</v>
      </c>
    </row>
    <row r="726" spans="1:9" x14ac:dyDescent="0.25">
      <c r="A726" s="1">
        <v>781</v>
      </c>
      <c r="B726" s="2">
        <v>42646.714583333327</v>
      </c>
      <c r="C726" s="2" t="str">
        <f t="shared" si="13"/>
        <v>10</v>
      </c>
      <c r="D726" s="2">
        <v>42646.716666666667</v>
      </c>
      <c r="E726" s="2" t="str">
        <f t="shared" si="13"/>
        <v>10</v>
      </c>
      <c r="F726" t="s">
        <v>7</v>
      </c>
      <c r="G726" t="s">
        <v>65</v>
      </c>
      <c r="H726" t="s">
        <v>68</v>
      </c>
      <c r="I726">
        <v>10.5</v>
      </c>
    </row>
    <row r="727" spans="1:9" x14ac:dyDescent="0.25">
      <c r="A727" s="1">
        <v>782</v>
      </c>
      <c r="B727" s="2">
        <v>42646.761805555558</v>
      </c>
      <c r="C727" s="2" t="str">
        <f t="shared" si="13"/>
        <v>10</v>
      </c>
      <c r="D727" s="2">
        <v>42646.773611111108</v>
      </c>
      <c r="E727" s="2" t="str">
        <f t="shared" si="13"/>
        <v>10</v>
      </c>
      <c r="F727" t="s">
        <v>7</v>
      </c>
      <c r="G727" t="s">
        <v>68</v>
      </c>
      <c r="H727" t="s">
        <v>68</v>
      </c>
      <c r="I727">
        <v>2.8</v>
      </c>
    </row>
    <row r="728" spans="1:9" x14ac:dyDescent="0.25">
      <c r="A728" s="1">
        <v>783</v>
      </c>
      <c r="B728" s="2">
        <v>42646.785416666673</v>
      </c>
      <c r="C728" s="2" t="str">
        <f t="shared" si="13"/>
        <v>10</v>
      </c>
      <c r="D728" s="2">
        <v>42646.792361111111</v>
      </c>
      <c r="E728" s="2" t="str">
        <f t="shared" si="13"/>
        <v>10</v>
      </c>
      <c r="F728" t="s">
        <v>7</v>
      </c>
      <c r="G728" t="s">
        <v>68</v>
      </c>
      <c r="H728" t="s">
        <v>68</v>
      </c>
      <c r="I728">
        <v>1.6</v>
      </c>
    </row>
    <row r="729" spans="1:9" x14ac:dyDescent="0.25">
      <c r="A729" s="1">
        <v>784</v>
      </c>
      <c r="B729" s="2">
        <v>42646.919444444437</v>
      </c>
      <c r="C729" s="2" t="str">
        <f t="shared" si="13"/>
        <v>10</v>
      </c>
      <c r="D729" s="2">
        <v>42646.939583333333</v>
      </c>
      <c r="E729" s="2" t="str">
        <f t="shared" si="13"/>
        <v>10</v>
      </c>
      <c r="F729" t="s">
        <v>7</v>
      </c>
      <c r="G729" t="s">
        <v>68</v>
      </c>
      <c r="H729" t="s">
        <v>65</v>
      </c>
      <c r="I729">
        <v>12.7</v>
      </c>
    </row>
    <row r="730" spans="1:9" x14ac:dyDescent="0.25">
      <c r="A730" s="1">
        <v>787</v>
      </c>
      <c r="B730" s="2">
        <v>42649.367361111108</v>
      </c>
      <c r="C730" s="2" t="str">
        <f t="shared" si="13"/>
        <v>10</v>
      </c>
      <c r="D730" s="2">
        <v>42649.48333333333</v>
      </c>
      <c r="E730" s="2" t="str">
        <f t="shared" si="13"/>
        <v>10</v>
      </c>
      <c r="F730" t="s">
        <v>7</v>
      </c>
      <c r="G730" t="s">
        <v>65</v>
      </c>
      <c r="H730" t="s">
        <v>69</v>
      </c>
      <c r="I730">
        <v>17.899999999999999</v>
      </c>
    </row>
    <row r="731" spans="1:9" x14ac:dyDescent="0.25">
      <c r="A731" s="1">
        <v>788</v>
      </c>
      <c r="B731" s="2">
        <v>42649.724305555559</v>
      </c>
      <c r="C731" s="2" t="str">
        <f t="shared" si="13"/>
        <v>10</v>
      </c>
      <c r="D731" s="2">
        <v>42649.736111111109</v>
      </c>
      <c r="E731" s="2" t="str">
        <f t="shared" si="13"/>
        <v>10</v>
      </c>
      <c r="F731" t="s">
        <v>7</v>
      </c>
      <c r="G731" t="s">
        <v>69</v>
      </c>
      <c r="H731" t="s">
        <v>65</v>
      </c>
      <c r="I731">
        <v>112.6</v>
      </c>
    </row>
    <row r="732" spans="1:9" x14ac:dyDescent="0.25">
      <c r="A732" s="1">
        <v>791</v>
      </c>
      <c r="B732" s="2">
        <v>42650.455555555563</v>
      </c>
      <c r="C732" s="2" t="str">
        <f t="shared" si="13"/>
        <v>10</v>
      </c>
      <c r="D732" s="2">
        <v>42650.457638888889</v>
      </c>
      <c r="E732" s="2" t="str">
        <f t="shared" si="13"/>
        <v>10</v>
      </c>
      <c r="F732" t="s">
        <v>7</v>
      </c>
      <c r="G732" t="s">
        <v>65</v>
      </c>
      <c r="H732" t="s">
        <v>187</v>
      </c>
      <c r="I732">
        <v>33.200000000000003</v>
      </c>
    </row>
    <row r="733" spans="1:9" x14ac:dyDescent="0.25">
      <c r="A733" s="1">
        <v>792</v>
      </c>
      <c r="B733" s="2">
        <v>42650.477083333331</v>
      </c>
      <c r="C733" s="2" t="str">
        <f t="shared" si="13"/>
        <v>10</v>
      </c>
      <c r="D733" s="2">
        <v>42650.493055555547</v>
      </c>
      <c r="E733" s="2" t="str">
        <f t="shared" si="13"/>
        <v>10</v>
      </c>
      <c r="F733" t="s">
        <v>7</v>
      </c>
      <c r="G733" t="s">
        <v>187</v>
      </c>
      <c r="H733" t="s">
        <v>187</v>
      </c>
      <c r="I733">
        <v>2.6</v>
      </c>
    </row>
    <row r="734" spans="1:9" x14ac:dyDescent="0.25">
      <c r="A734" s="1">
        <v>793</v>
      </c>
      <c r="B734" s="2">
        <v>42650.577777777777</v>
      </c>
      <c r="C734" s="2" t="str">
        <f t="shared" si="13"/>
        <v>10</v>
      </c>
      <c r="D734" s="2">
        <v>42650.588888888888</v>
      </c>
      <c r="E734" s="2" t="str">
        <f t="shared" si="13"/>
        <v>10</v>
      </c>
      <c r="F734" t="s">
        <v>7</v>
      </c>
      <c r="G734" t="s">
        <v>187</v>
      </c>
      <c r="H734" t="s">
        <v>65</v>
      </c>
      <c r="I734">
        <v>5.8</v>
      </c>
    </row>
    <row r="735" spans="1:9" x14ac:dyDescent="0.25">
      <c r="A735" s="1">
        <v>794</v>
      </c>
      <c r="B735" s="2">
        <v>42650.603472222218</v>
      </c>
      <c r="C735" s="2" t="str">
        <f t="shared" si="13"/>
        <v>10</v>
      </c>
      <c r="D735" s="2">
        <v>42650.632638888892</v>
      </c>
      <c r="E735" s="2" t="str">
        <f t="shared" si="13"/>
        <v>10</v>
      </c>
      <c r="F735" t="s">
        <v>7</v>
      </c>
      <c r="G735" t="s">
        <v>65</v>
      </c>
      <c r="H735" t="s">
        <v>187</v>
      </c>
      <c r="I735">
        <v>8.3000000000000007</v>
      </c>
    </row>
    <row r="736" spans="1:9" x14ac:dyDescent="0.25">
      <c r="A736" s="1">
        <v>795</v>
      </c>
      <c r="B736" s="2">
        <v>42650.657638888893</v>
      </c>
      <c r="C736" s="2" t="str">
        <f t="shared" si="13"/>
        <v>10</v>
      </c>
      <c r="D736" s="2">
        <v>42650.668055555558</v>
      </c>
      <c r="E736" s="2" t="str">
        <f t="shared" si="13"/>
        <v>10</v>
      </c>
      <c r="F736" t="s">
        <v>7</v>
      </c>
      <c r="G736" t="s">
        <v>187</v>
      </c>
      <c r="H736" t="s">
        <v>187</v>
      </c>
      <c r="I736">
        <v>2.4</v>
      </c>
    </row>
    <row r="737" spans="1:10" x14ac:dyDescent="0.25">
      <c r="A737" s="1">
        <v>796</v>
      </c>
      <c r="B737" s="2">
        <v>42650.755555555559</v>
      </c>
      <c r="C737" s="2" t="str">
        <f t="shared" si="13"/>
        <v>10</v>
      </c>
      <c r="D737" s="2">
        <v>42650.768750000003</v>
      </c>
      <c r="E737" s="2" t="str">
        <f t="shared" si="13"/>
        <v>10</v>
      </c>
      <c r="F737" t="s">
        <v>7</v>
      </c>
      <c r="G737" t="s">
        <v>187</v>
      </c>
      <c r="H737" t="s">
        <v>187</v>
      </c>
      <c r="I737">
        <v>3.1</v>
      </c>
    </row>
    <row r="738" spans="1:10" x14ac:dyDescent="0.25">
      <c r="A738" s="1">
        <v>797</v>
      </c>
      <c r="B738" s="2">
        <v>42650.772916666669</v>
      </c>
      <c r="C738" s="2" t="str">
        <f t="shared" si="13"/>
        <v>10</v>
      </c>
      <c r="D738" s="2">
        <v>42650.792361111111</v>
      </c>
      <c r="E738" s="2" t="str">
        <f t="shared" si="13"/>
        <v>10</v>
      </c>
      <c r="F738" t="s">
        <v>7</v>
      </c>
      <c r="G738" t="s">
        <v>187</v>
      </c>
      <c r="H738" t="s">
        <v>187</v>
      </c>
      <c r="I738">
        <v>6.1</v>
      </c>
    </row>
    <row r="739" spans="1:10" x14ac:dyDescent="0.25">
      <c r="A739" s="1">
        <v>798</v>
      </c>
      <c r="B739" s="2">
        <v>42651.627083333333</v>
      </c>
      <c r="C739" s="2" t="str">
        <f t="shared" si="13"/>
        <v>10</v>
      </c>
      <c r="D739" s="2">
        <v>42651.627083333333</v>
      </c>
      <c r="E739" s="2" t="str">
        <f t="shared" si="13"/>
        <v>10</v>
      </c>
      <c r="F739" t="s">
        <v>7</v>
      </c>
      <c r="G739" t="s">
        <v>188</v>
      </c>
      <c r="H739" t="s">
        <v>188</v>
      </c>
      <c r="I739">
        <v>3.6</v>
      </c>
    </row>
    <row r="740" spans="1:10" x14ac:dyDescent="0.25">
      <c r="A740" s="1">
        <v>799</v>
      </c>
      <c r="B740" s="2">
        <v>42651.760416666657</v>
      </c>
      <c r="C740" s="2" t="str">
        <f t="shared" si="13"/>
        <v>10</v>
      </c>
      <c r="D740" s="2">
        <v>42651.762499999997</v>
      </c>
      <c r="E740" s="2" t="str">
        <f t="shared" si="13"/>
        <v>10</v>
      </c>
      <c r="F740" t="s">
        <v>7</v>
      </c>
      <c r="G740" t="s">
        <v>188</v>
      </c>
      <c r="H740" t="s">
        <v>65</v>
      </c>
      <c r="I740">
        <v>8</v>
      </c>
    </row>
    <row r="741" spans="1:10" x14ac:dyDescent="0.25">
      <c r="A741" s="1">
        <v>801</v>
      </c>
      <c r="B741" s="2">
        <v>42653.723611111112</v>
      </c>
      <c r="C741" s="2" t="str">
        <f t="shared" si="13"/>
        <v>10</v>
      </c>
      <c r="D741" s="2">
        <v>42653.727777777778</v>
      </c>
      <c r="E741" s="2" t="str">
        <f t="shared" si="13"/>
        <v>10</v>
      </c>
      <c r="F741" t="s">
        <v>7</v>
      </c>
      <c r="G741" t="s">
        <v>68</v>
      </c>
      <c r="H741" t="s">
        <v>68</v>
      </c>
      <c r="I741">
        <v>1.7</v>
      </c>
    </row>
    <row r="742" spans="1:10" x14ac:dyDescent="0.25">
      <c r="A742" s="1">
        <v>802</v>
      </c>
      <c r="B742" s="2">
        <v>42653.731249999997</v>
      </c>
      <c r="C742" s="2" t="str">
        <f t="shared" si="13"/>
        <v>10</v>
      </c>
      <c r="D742" s="2">
        <v>42653.759027777778</v>
      </c>
      <c r="E742" s="2" t="str">
        <f t="shared" si="13"/>
        <v>10</v>
      </c>
      <c r="F742" t="s">
        <v>7</v>
      </c>
      <c r="G742" t="s">
        <v>68</v>
      </c>
      <c r="H742" t="s">
        <v>65</v>
      </c>
      <c r="I742">
        <v>9.5</v>
      </c>
    </row>
    <row r="743" spans="1:10" x14ac:dyDescent="0.25">
      <c r="A743" s="1">
        <v>803</v>
      </c>
      <c r="B743" s="2">
        <v>42654.060416666667</v>
      </c>
      <c r="C743" s="2" t="str">
        <f t="shared" si="13"/>
        <v>10</v>
      </c>
      <c r="D743" s="2">
        <v>42654.088888888888</v>
      </c>
      <c r="E743" s="2" t="str">
        <f t="shared" si="13"/>
        <v>10</v>
      </c>
      <c r="F743" t="s">
        <v>7</v>
      </c>
      <c r="G743" t="s">
        <v>65</v>
      </c>
      <c r="H743" t="s">
        <v>69</v>
      </c>
      <c r="I743">
        <v>17.100000000000001</v>
      </c>
      <c r="J743" t="s">
        <v>11</v>
      </c>
    </row>
    <row r="744" spans="1:10" x14ac:dyDescent="0.25">
      <c r="A744" s="1">
        <v>804</v>
      </c>
      <c r="B744" s="2">
        <v>42655.804166666669</v>
      </c>
      <c r="C744" s="2" t="str">
        <f t="shared" si="13"/>
        <v>10</v>
      </c>
      <c r="D744" s="2">
        <v>42655.806250000001</v>
      </c>
      <c r="E744" s="2" t="str">
        <f t="shared" si="13"/>
        <v>10</v>
      </c>
      <c r="F744" t="s">
        <v>7</v>
      </c>
      <c r="G744" t="s">
        <v>69</v>
      </c>
      <c r="H744" t="s">
        <v>65</v>
      </c>
      <c r="I744">
        <v>18.399999999999999</v>
      </c>
    </row>
    <row r="745" spans="1:10" x14ac:dyDescent="0.25">
      <c r="A745" s="1">
        <v>805</v>
      </c>
      <c r="B745" s="2">
        <v>42656.472222222219</v>
      </c>
      <c r="C745" s="2" t="str">
        <f t="shared" si="13"/>
        <v>10</v>
      </c>
      <c r="D745" s="2">
        <v>42656.498611111107</v>
      </c>
      <c r="E745" s="2" t="str">
        <f t="shared" si="13"/>
        <v>10</v>
      </c>
      <c r="F745" t="s">
        <v>7</v>
      </c>
      <c r="G745" t="s">
        <v>65</v>
      </c>
      <c r="H745" t="s">
        <v>68</v>
      </c>
      <c r="I745">
        <v>9.8000000000000007</v>
      </c>
    </row>
    <row r="746" spans="1:10" x14ac:dyDescent="0.25">
      <c r="A746" s="1">
        <v>806</v>
      </c>
      <c r="B746" s="2">
        <v>42656.505555555559</v>
      </c>
      <c r="C746" s="2" t="str">
        <f t="shared" si="13"/>
        <v>10</v>
      </c>
      <c r="D746" s="2">
        <v>42656.509722222218</v>
      </c>
      <c r="E746" s="2" t="str">
        <f t="shared" si="13"/>
        <v>10</v>
      </c>
      <c r="F746" t="s">
        <v>7</v>
      </c>
      <c r="G746" t="s">
        <v>68</v>
      </c>
      <c r="H746" t="s">
        <v>68</v>
      </c>
      <c r="I746">
        <v>1</v>
      </c>
    </row>
    <row r="747" spans="1:10" x14ac:dyDescent="0.25">
      <c r="A747" s="1">
        <v>807</v>
      </c>
      <c r="B747" s="2">
        <v>42656.543055555558</v>
      </c>
      <c r="C747" s="2" t="str">
        <f t="shared" si="13"/>
        <v>10</v>
      </c>
      <c r="D747" s="2">
        <v>42656.543055555558</v>
      </c>
      <c r="E747" s="2" t="str">
        <f t="shared" si="13"/>
        <v>10</v>
      </c>
      <c r="F747" t="s">
        <v>7</v>
      </c>
      <c r="G747" t="s">
        <v>68</v>
      </c>
      <c r="H747" t="s">
        <v>68</v>
      </c>
      <c r="I747">
        <v>0.7</v>
      </c>
    </row>
    <row r="748" spans="1:10" x14ac:dyDescent="0.25">
      <c r="A748" s="1">
        <v>808</v>
      </c>
      <c r="B748" s="2">
        <v>42656.567361111112</v>
      </c>
      <c r="C748" s="2" t="str">
        <f t="shared" si="13"/>
        <v>10</v>
      </c>
      <c r="D748" s="2">
        <v>42656.573611111111</v>
      </c>
      <c r="E748" s="2" t="str">
        <f t="shared" si="13"/>
        <v>10</v>
      </c>
      <c r="F748" t="s">
        <v>7</v>
      </c>
      <c r="G748" t="s">
        <v>68</v>
      </c>
      <c r="H748" t="s">
        <v>68</v>
      </c>
      <c r="I748">
        <v>2.2999999999999998</v>
      </c>
    </row>
    <row r="749" spans="1:10" x14ac:dyDescent="0.25">
      <c r="A749" s="1">
        <v>809</v>
      </c>
      <c r="B749" s="2">
        <v>42656.672222222223</v>
      </c>
      <c r="C749" s="2" t="str">
        <f t="shared" si="13"/>
        <v>10</v>
      </c>
      <c r="D749" s="2">
        <v>42656.703472222223</v>
      </c>
      <c r="E749" s="2" t="str">
        <f t="shared" si="13"/>
        <v>10</v>
      </c>
      <c r="F749" t="s">
        <v>7</v>
      </c>
      <c r="G749" t="s">
        <v>68</v>
      </c>
      <c r="H749" t="s">
        <v>65</v>
      </c>
      <c r="I749">
        <v>10.9</v>
      </c>
    </row>
    <row r="750" spans="1:10" x14ac:dyDescent="0.25">
      <c r="A750" s="1">
        <v>810</v>
      </c>
      <c r="B750" s="2">
        <v>42657.368055555547</v>
      </c>
      <c r="C750" s="2" t="str">
        <f t="shared" si="13"/>
        <v>10</v>
      </c>
      <c r="D750" s="2">
        <v>42657.405555555553</v>
      </c>
      <c r="E750" s="2" t="str">
        <f t="shared" si="13"/>
        <v>10</v>
      </c>
      <c r="F750" t="s">
        <v>7</v>
      </c>
      <c r="G750" t="s">
        <v>65</v>
      </c>
      <c r="H750" t="s">
        <v>69</v>
      </c>
      <c r="I750">
        <v>12.7</v>
      </c>
    </row>
    <row r="751" spans="1:10" x14ac:dyDescent="0.25">
      <c r="A751" s="1">
        <v>811</v>
      </c>
      <c r="B751" s="2">
        <v>42657.427777777782</v>
      </c>
      <c r="C751" s="2" t="str">
        <f t="shared" si="13"/>
        <v>10</v>
      </c>
      <c r="D751" s="2">
        <v>42657.452777777777</v>
      </c>
      <c r="E751" s="2" t="str">
        <f t="shared" si="13"/>
        <v>10</v>
      </c>
      <c r="F751" t="s">
        <v>7</v>
      </c>
      <c r="G751" t="s">
        <v>69</v>
      </c>
      <c r="H751" t="s">
        <v>65</v>
      </c>
      <c r="I751">
        <v>12.4</v>
      </c>
    </row>
    <row r="752" spans="1:10" x14ac:dyDescent="0.25">
      <c r="A752" s="1">
        <v>813</v>
      </c>
      <c r="B752" s="2">
        <v>42657.995833333327</v>
      </c>
      <c r="C752" s="2" t="str">
        <f t="shared" si="13"/>
        <v>10</v>
      </c>
      <c r="D752" s="2">
        <v>42658.087500000001</v>
      </c>
      <c r="E752" s="2" t="str">
        <f t="shared" si="13"/>
        <v>10</v>
      </c>
      <c r="F752" t="s">
        <v>7</v>
      </c>
      <c r="G752" t="s">
        <v>65</v>
      </c>
      <c r="H752" t="s">
        <v>69</v>
      </c>
      <c r="I752">
        <v>17</v>
      </c>
      <c r="J752" t="s">
        <v>11</v>
      </c>
    </row>
    <row r="753" spans="1:10" x14ac:dyDescent="0.25">
      <c r="A753" s="1">
        <v>814</v>
      </c>
      <c r="B753" s="2">
        <v>42658.936111111107</v>
      </c>
      <c r="C753" s="2" t="str">
        <f t="shared" si="13"/>
        <v>10</v>
      </c>
      <c r="D753" s="2">
        <v>42658.95</v>
      </c>
      <c r="E753" s="2" t="str">
        <f t="shared" si="13"/>
        <v>10</v>
      </c>
      <c r="F753" t="s">
        <v>7</v>
      </c>
      <c r="G753" t="s">
        <v>16</v>
      </c>
      <c r="H753" t="s">
        <v>16</v>
      </c>
      <c r="I753">
        <v>6.2</v>
      </c>
    </row>
    <row r="754" spans="1:10" x14ac:dyDescent="0.25">
      <c r="A754" s="1">
        <v>815</v>
      </c>
      <c r="B754" s="2">
        <v>42659.000694444447</v>
      </c>
      <c r="C754" s="2" t="str">
        <f t="shared" si="13"/>
        <v>10</v>
      </c>
      <c r="D754" s="2">
        <v>42659.009722222218</v>
      </c>
      <c r="E754" s="2" t="str">
        <f t="shared" si="13"/>
        <v>10</v>
      </c>
      <c r="F754" t="s">
        <v>7</v>
      </c>
      <c r="G754" t="s">
        <v>16</v>
      </c>
      <c r="H754" t="s">
        <v>15</v>
      </c>
      <c r="I754">
        <v>3.1</v>
      </c>
    </row>
    <row r="755" spans="1:10" x14ac:dyDescent="0.25">
      <c r="A755" s="1">
        <v>816</v>
      </c>
      <c r="B755" s="2">
        <v>42659.536111111112</v>
      </c>
      <c r="C755" s="2" t="str">
        <f t="shared" si="13"/>
        <v>10</v>
      </c>
      <c r="D755" s="2">
        <v>42659.549305555563</v>
      </c>
      <c r="E755" s="2" t="str">
        <f t="shared" si="13"/>
        <v>10</v>
      </c>
      <c r="F755" t="s">
        <v>7</v>
      </c>
      <c r="G755" t="s">
        <v>15</v>
      </c>
      <c r="H755" t="s">
        <v>36</v>
      </c>
      <c r="I755">
        <v>10.5</v>
      </c>
      <c r="J755" t="s">
        <v>11</v>
      </c>
    </row>
    <row r="756" spans="1:10" x14ac:dyDescent="0.25">
      <c r="A756" s="1">
        <v>817</v>
      </c>
      <c r="B756" s="2">
        <v>42659.611111111109</v>
      </c>
      <c r="C756" s="2" t="str">
        <f t="shared" si="13"/>
        <v>10</v>
      </c>
      <c r="D756" s="2">
        <v>42659.625694444447</v>
      </c>
      <c r="E756" s="2" t="str">
        <f t="shared" si="13"/>
        <v>10</v>
      </c>
      <c r="F756" t="s">
        <v>7</v>
      </c>
      <c r="G756" t="s">
        <v>36</v>
      </c>
      <c r="H756" t="s">
        <v>16</v>
      </c>
      <c r="I756">
        <v>8.1</v>
      </c>
    </row>
    <row r="757" spans="1:10" x14ac:dyDescent="0.25">
      <c r="A757" s="1">
        <v>818</v>
      </c>
      <c r="B757" s="2">
        <v>42659.631944444453</v>
      </c>
      <c r="C757" s="2" t="str">
        <f t="shared" si="13"/>
        <v>10</v>
      </c>
      <c r="D757" s="2">
        <v>42659.638194444437</v>
      </c>
      <c r="E757" s="2" t="str">
        <f t="shared" si="13"/>
        <v>10</v>
      </c>
      <c r="F757" t="s">
        <v>7</v>
      </c>
      <c r="G757" t="s">
        <v>16</v>
      </c>
      <c r="H757" t="s">
        <v>15</v>
      </c>
      <c r="I757">
        <v>3.1</v>
      </c>
    </row>
    <row r="758" spans="1:10" x14ac:dyDescent="0.25">
      <c r="A758" s="1">
        <v>819</v>
      </c>
      <c r="B758" s="2">
        <v>42659.810416666667</v>
      </c>
      <c r="C758" s="2" t="str">
        <f t="shared" si="13"/>
        <v>10</v>
      </c>
      <c r="D758" s="2">
        <v>42659.814583333333</v>
      </c>
      <c r="E758" s="2" t="str">
        <f t="shared" si="13"/>
        <v>10</v>
      </c>
      <c r="F758" t="s">
        <v>7</v>
      </c>
      <c r="G758" t="s">
        <v>38</v>
      </c>
      <c r="H758" t="s">
        <v>116</v>
      </c>
      <c r="I758">
        <v>2.1</v>
      </c>
      <c r="J758" t="s">
        <v>11</v>
      </c>
    </row>
    <row r="759" spans="1:10" x14ac:dyDescent="0.25">
      <c r="A759" s="1">
        <v>820</v>
      </c>
      <c r="B759" s="2">
        <v>42659.854166666657</v>
      </c>
      <c r="C759" s="2" t="str">
        <f t="shared" si="13"/>
        <v>10</v>
      </c>
      <c r="D759" s="2">
        <v>42659.86041666667</v>
      </c>
      <c r="E759" s="2" t="str">
        <f t="shared" si="13"/>
        <v>10</v>
      </c>
      <c r="F759" t="s">
        <v>7</v>
      </c>
      <c r="G759" t="s">
        <v>15</v>
      </c>
      <c r="H759" t="s">
        <v>16</v>
      </c>
      <c r="I759">
        <v>4.3</v>
      </c>
    </row>
    <row r="760" spans="1:10" x14ac:dyDescent="0.25">
      <c r="A760" s="1">
        <v>821</v>
      </c>
      <c r="B760" s="2">
        <v>42659.898611111108</v>
      </c>
      <c r="C760" s="2" t="str">
        <f t="shared" si="13"/>
        <v>10</v>
      </c>
      <c r="D760" s="2">
        <v>42659.90347222222</v>
      </c>
      <c r="E760" s="2" t="str">
        <f t="shared" si="13"/>
        <v>10</v>
      </c>
      <c r="F760" t="s">
        <v>7</v>
      </c>
      <c r="G760" t="s">
        <v>16</v>
      </c>
      <c r="H760" t="s">
        <v>15</v>
      </c>
      <c r="I760">
        <v>2.5</v>
      </c>
      <c r="J760" t="s">
        <v>9</v>
      </c>
    </row>
    <row r="761" spans="1:10" x14ac:dyDescent="0.25">
      <c r="A761" s="1">
        <v>822</v>
      </c>
      <c r="B761" s="2">
        <v>42660.638194444437</v>
      </c>
      <c r="C761" s="2" t="str">
        <f t="shared" si="13"/>
        <v>10</v>
      </c>
      <c r="D761" s="2">
        <v>42660.664583333331</v>
      </c>
      <c r="E761" s="2" t="str">
        <f t="shared" si="13"/>
        <v>10</v>
      </c>
      <c r="F761" t="s">
        <v>7</v>
      </c>
      <c r="G761" t="s">
        <v>15</v>
      </c>
      <c r="H761" t="s">
        <v>40</v>
      </c>
      <c r="I761">
        <v>20.6</v>
      </c>
    </row>
    <row r="762" spans="1:10" x14ac:dyDescent="0.25">
      <c r="A762" s="1">
        <v>823</v>
      </c>
      <c r="B762" s="2">
        <v>42660.686805555553</v>
      </c>
      <c r="C762" s="2" t="str">
        <f t="shared" si="13"/>
        <v>10</v>
      </c>
      <c r="D762" s="2">
        <v>42660.71597222222</v>
      </c>
      <c r="E762" s="2" t="str">
        <f t="shared" si="13"/>
        <v>10</v>
      </c>
      <c r="F762" t="s">
        <v>7</v>
      </c>
      <c r="G762" t="s">
        <v>40</v>
      </c>
      <c r="H762" t="s">
        <v>15</v>
      </c>
      <c r="I762">
        <v>17.600000000000001</v>
      </c>
    </row>
    <row r="763" spans="1:10" x14ac:dyDescent="0.25">
      <c r="A763" s="1">
        <v>824</v>
      </c>
      <c r="B763" s="2">
        <v>42660.751388888893</v>
      </c>
      <c r="C763" s="2" t="str">
        <f t="shared" si="13"/>
        <v>10</v>
      </c>
      <c r="D763" s="2">
        <v>42660.761111111111</v>
      </c>
      <c r="E763" s="2" t="str">
        <f t="shared" si="13"/>
        <v>10</v>
      </c>
      <c r="F763" t="s">
        <v>7</v>
      </c>
      <c r="G763" t="s">
        <v>15</v>
      </c>
      <c r="H763" t="s">
        <v>48</v>
      </c>
      <c r="I763">
        <v>5.6</v>
      </c>
    </row>
    <row r="764" spans="1:10" x14ac:dyDescent="0.25">
      <c r="A764" s="1">
        <v>825</v>
      </c>
      <c r="B764" s="2">
        <v>42660.771527777782</v>
      </c>
      <c r="C764" s="2" t="str">
        <f t="shared" si="13"/>
        <v>10</v>
      </c>
      <c r="D764" s="2">
        <v>42660.78125</v>
      </c>
      <c r="E764" s="2" t="str">
        <f t="shared" si="13"/>
        <v>10</v>
      </c>
      <c r="F764" t="s">
        <v>7</v>
      </c>
      <c r="G764" t="s">
        <v>48</v>
      </c>
      <c r="H764" t="s">
        <v>48</v>
      </c>
      <c r="I764">
        <v>3.3</v>
      </c>
    </row>
    <row r="765" spans="1:10" x14ac:dyDescent="0.25">
      <c r="A765" s="1">
        <v>826</v>
      </c>
      <c r="B765" s="2">
        <v>42660.797222222223</v>
      </c>
      <c r="C765" s="2" t="str">
        <f t="shared" si="13"/>
        <v>10</v>
      </c>
      <c r="D765" s="2">
        <v>42660.809027777781</v>
      </c>
      <c r="E765" s="2" t="str">
        <f t="shared" si="13"/>
        <v>10</v>
      </c>
      <c r="F765" t="s">
        <v>7</v>
      </c>
      <c r="G765" t="s">
        <v>48</v>
      </c>
      <c r="H765" t="s">
        <v>15</v>
      </c>
      <c r="I765">
        <v>5.3</v>
      </c>
    </row>
    <row r="766" spans="1:10" x14ac:dyDescent="0.25">
      <c r="A766" s="1">
        <v>827</v>
      </c>
      <c r="B766" s="2">
        <v>42661.341666666667</v>
      </c>
      <c r="C766" s="2" t="str">
        <f t="shared" si="13"/>
        <v>10</v>
      </c>
      <c r="D766" s="2">
        <v>42661.348611111112</v>
      </c>
      <c r="E766" s="2" t="str">
        <f t="shared" si="13"/>
        <v>10</v>
      </c>
      <c r="F766" t="s">
        <v>7</v>
      </c>
      <c r="G766" t="s">
        <v>38</v>
      </c>
      <c r="H766" t="s">
        <v>54</v>
      </c>
      <c r="I766">
        <v>3.3</v>
      </c>
    </row>
    <row r="767" spans="1:10" x14ac:dyDescent="0.25">
      <c r="A767" s="1">
        <v>828</v>
      </c>
      <c r="B767" s="2">
        <v>42661.370138888888</v>
      </c>
      <c r="C767" s="2" t="str">
        <f t="shared" si="13"/>
        <v>10</v>
      </c>
      <c r="D767" s="2">
        <v>42661.376388888893</v>
      </c>
      <c r="E767" s="2" t="str">
        <f t="shared" si="13"/>
        <v>10</v>
      </c>
      <c r="F767" t="s">
        <v>7</v>
      </c>
      <c r="G767" t="s">
        <v>54</v>
      </c>
      <c r="H767" t="s">
        <v>38</v>
      </c>
      <c r="I767">
        <v>3.3</v>
      </c>
    </row>
    <row r="768" spans="1:10" x14ac:dyDescent="0.25">
      <c r="A768" s="1">
        <v>829</v>
      </c>
      <c r="B768" s="2">
        <v>42661.445138888892</v>
      </c>
      <c r="C768" s="2" t="str">
        <f t="shared" si="13"/>
        <v>10</v>
      </c>
      <c r="D768" s="2">
        <v>42661.464583333327</v>
      </c>
      <c r="E768" s="2" t="str">
        <f t="shared" si="13"/>
        <v>10</v>
      </c>
      <c r="F768" t="s">
        <v>7</v>
      </c>
      <c r="G768" t="s">
        <v>15</v>
      </c>
      <c r="H768" t="s">
        <v>16</v>
      </c>
      <c r="I768">
        <v>7.9</v>
      </c>
      <c r="J768" t="s">
        <v>24</v>
      </c>
    </row>
    <row r="769" spans="1:9" x14ac:dyDescent="0.25">
      <c r="A769" s="1">
        <v>830</v>
      </c>
      <c r="B769" s="2">
        <v>42661.758333333331</v>
      </c>
      <c r="C769" s="2" t="str">
        <f t="shared" si="13"/>
        <v>10</v>
      </c>
      <c r="D769" s="2">
        <v>42661.772916666669</v>
      </c>
      <c r="E769" s="2" t="str">
        <f t="shared" si="13"/>
        <v>10</v>
      </c>
      <c r="F769" t="s">
        <v>7</v>
      </c>
      <c r="G769" t="s">
        <v>145</v>
      </c>
      <c r="H769" t="s">
        <v>146</v>
      </c>
      <c r="I769">
        <v>13</v>
      </c>
    </row>
    <row r="770" spans="1:9" x14ac:dyDescent="0.25">
      <c r="A770" s="1">
        <v>831</v>
      </c>
      <c r="B770" s="2">
        <v>42661.793749999997</v>
      </c>
      <c r="C770" s="2" t="str">
        <f t="shared" si="13"/>
        <v>10</v>
      </c>
      <c r="D770" s="2">
        <v>42661.800694444442</v>
      </c>
      <c r="E770" s="2" t="str">
        <f t="shared" si="13"/>
        <v>10</v>
      </c>
      <c r="F770" t="s">
        <v>7</v>
      </c>
      <c r="G770" t="s">
        <v>146</v>
      </c>
      <c r="H770" t="s">
        <v>147</v>
      </c>
      <c r="I770">
        <v>3</v>
      </c>
    </row>
    <row r="771" spans="1:9" x14ac:dyDescent="0.25">
      <c r="A771" s="1">
        <v>832</v>
      </c>
      <c r="B771" s="2">
        <v>42661.854861111111</v>
      </c>
      <c r="C771" s="2" t="str">
        <f t="shared" ref="C771:E834" si="14" xml:space="preserve"> TEXT(B771, "mm")</f>
        <v>10</v>
      </c>
      <c r="D771" s="2">
        <v>42661.859027777777</v>
      </c>
      <c r="E771" s="2" t="str">
        <f t="shared" si="14"/>
        <v>10</v>
      </c>
      <c r="F771" t="s">
        <v>7</v>
      </c>
      <c r="G771" t="s">
        <v>147</v>
      </c>
      <c r="H771" t="s">
        <v>146</v>
      </c>
      <c r="I771">
        <v>3</v>
      </c>
    </row>
    <row r="772" spans="1:9" x14ac:dyDescent="0.25">
      <c r="A772" s="1">
        <v>833</v>
      </c>
      <c r="B772" s="2">
        <v>42662.397916666669</v>
      </c>
      <c r="C772" s="2" t="str">
        <f t="shared" si="14"/>
        <v>10</v>
      </c>
      <c r="D772" s="2">
        <v>42662.407638888893</v>
      </c>
      <c r="E772" s="2" t="str">
        <f t="shared" si="14"/>
        <v>10</v>
      </c>
      <c r="F772" t="s">
        <v>7</v>
      </c>
      <c r="G772" t="s">
        <v>146</v>
      </c>
      <c r="H772" t="s">
        <v>145</v>
      </c>
      <c r="I772">
        <v>3.8</v>
      </c>
    </row>
    <row r="773" spans="1:9" x14ac:dyDescent="0.25">
      <c r="A773" s="1">
        <v>834</v>
      </c>
      <c r="B773" s="2">
        <v>42662.412499999999</v>
      </c>
      <c r="C773" s="2" t="str">
        <f t="shared" si="14"/>
        <v>10</v>
      </c>
      <c r="D773" s="2">
        <v>42662.431250000001</v>
      </c>
      <c r="E773" s="2" t="str">
        <f t="shared" si="14"/>
        <v>10</v>
      </c>
      <c r="F773" t="s">
        <v>7</v>
      </c>
      <c r="G773" t="s">
        <v>145</v>
      </c>
      <c r="H773" t="s">
        <v>123</v>
      </c>
      <c r="I773">
        <v>9.5</v>
      </c>
    </row>
    <row r="774" spans="1:9" x14ac:dyDescent="0.25">
      <c r="A774" s="1">
        <v>835</v>
      </c>
      <c r="B774" s="2">
        <v>42662.572916666657</v>
      </c>
      <c r="C774" s="2" t="str">
        <f t="shared" si="14"/>
        <v>10</v>
      </c>
      <c r="D774" s="2">
        <v>42662.580555555563</v>
      </c>
      <c r="E774" s="2" t="str">
        <f t="shared" si="14"/>
        <v>10</v>
      </c>
      <c r="F774" t="s">
        <v>7</v>
      </c>
      <c r="G774" t="s">
        <v>189</v>
      </c>
      <c r="H774" t="s">
        <v>190</v>
      </c>
      <c r="I774">
        <v>1.7</v>
      </c>
    </row>
    <row r="775" spans="1:9" x14ac:dyDescent="0.25">
      <c r="A775" s="1">
        <v>836</v>
      </c>
      <c r="B775" s="2">
        <v>42662.584722222222</v>
      </c>
      <c r="C775" s="2" t="str">
        <f t="shared" si="14"/>
        <v>10</v>
      </c>
      <c r="D775" s="2">
        <v>42662.604861111111</v>
      </c>
      <c r="E775" s="2" t="str">
        <f t="shared" si="14"/>
        <v>10</v>
      </c>
      <c r="F775" t="s">
        <v>7</v>
      </c>
      <c r="G775" t="s">
        <v>123</v>
      </c>
      <c r="H775" t="s">
        <v>147</v>
      </c>
      <c r="I775">
        <v>10.8</v>
      </c>
    </row>
    <row r="776" spans="1:9" x14ac:dyDescent="0.25">
      <c r="A776" s="1">
        <v>837</v>
      </c>
      <c r="B776" s="2">
        <v>42662.655555555553</v>
      </c>
      <c r="C776" s="2" t="str">
        <f t="shared" si="14"/>
        <v>10</v>
      </c>
      <c r="D776" s="2">
        <v>42662.668055555558</v>
      </c>
      <c r="E776" s="2" t="str">
        <f t="shared" si="14"/>
        <v>10</v>
      </c>
      <c r="F776" t="s">
        <v>7</v>
      </c>
      <c r="G776" t="s">
        <v>191</v>
      </c>
      <c r="H776" t="s">
        <v>192</v>
      </c>
      <c r="I776">
        <v>4.0999999999999996</v>
      </c>
    </row>
    <row r="777" spans="1:9" x14ac:dyDescent="0.25">
      <c r="A777" s="1">
        <v>838</v>
      </c>
      <c r="B777" s="2">
        <v>42662.67083333333</v>
      </c>
      <c r="C777" s="2" t="str">
        <f t="shared" si="14"/>
        <v>10</v>
      </c>
      <c r="D777" s="2">
        <v>42662.679861111108</v>
      </c>
      <c r="E777" s="2" t="str">
        <f t="shared" si="14"/>
        <v>10</v>
      </c>
      <c r="F777" t="s">
        <v>7</v>
      </c>
      <c r="G777" t="s">
        <v>192</v>
      </c>
      <c r="H777" t="s">
        <v>193</v>
      </c>
      <c r="I777">
        <v>2.2000000000000002</v>
      </c>
    </row>
    <row r="778" spans="1:9" x14ac:dyDescent="0.25">
      <c r="A778" s="1">
        <v>839</v>
      </c>
      <c r="B778" s="2">
        <v>42662.689583333333</v>
      </c>
      <c r="C778" s="2" t="str">
        <f t="shared" si="14"/>
        <v>10</v>
      </c>
      <c r="D778" s="2">
        <v>42662.709027777782</v>
      </c>
      <c r="E778" s="2" t="str">
        <f t="shared" si="14"/>
        <v>10</v>
      </c>
      <c r="F778" t="s">
        <v>7</v>
      </c>
      <c r="G778" t="s">
        <v>147</v>
      </c>
      <c r="H778" t="s">
        <v>146</v>
      </c>
      <c r="I778">
        <v>4.5999999999999996</v>
      </c>
    </row>
    <row r="779" spans="1:9" x14ac:dyDescent="0.25">
      <c r="A779" s="1">
        <v>840</v>
      </c>
      <c r="B779" s="2">
        <v>42663.476388888892</v>
      </c>
      <c r="C779" s="2" t="str">
        <f t="shared" si="14"/>
        <v>10</v>
      </c>
      <c r="D779" s="2">
        <v>42663.481944444437</v>
      </c>
      <c r="E779" s="2" t="str">
        <f t="shared" si="14"/>
        <v>10</v>
      </c>
      <c r="F779" t="s">
        <v>7</v>
      </c>
      <c r="G779" t="s">
        <v>146</v>
      </c>
      <c r="H779" t="s">
        <v>147</v>
      </c>
      <c r="I779">
        <v>3.1</v>
      </c>
    </row>
    <row r="780" spans="1:9" x14ac:dyDescent="0.25">
      <c r="A780" s="1">
        <v>841</v>
      </c>
      <c r="B780" s="2">
        <v>42663.513194444437</v>
      </c>
      <c r="C780" s="2" t="str">
        <f t="shared" si="14"/>
        <v>10</v>
      </c>
      <c r="D780" s="2">
        <v>42663.553472222222</v>
      </c>
      <c r="E780" s="2" t="str">
        <f t="shared" si="14"/>
        <v>10</v>
      </c>
      <c r="F780" t="s">
        <v>7</v>
      </c>
      <c r="G780" t="s">
        <v>147</v>
      </c>
      <c r="H780" t="s">
        <v>194</v>
      </c>
      <c r="I780">
        <v>47.7</v>
      </c>
    </row>
    <row r="781" spans="1:9" x14ac:dyDescent="0.25">
      <c r="A781" s="1">
        <v>842</v>
      </c>
      <c r="B781" s="2">
        <v>42663.863888888889</v>
      </c>
      <c r="C781" s="2" t="str">
        <f t="shared" si="14"/>
        <v>10</v>
      </c>
      <c r="D781" s="2">
        <v>42663.900694444441</v>
      </c>
      <c r="E781" s="2" t="str">
        <f t="shared" si="14"/>
        <v>10</v>
      </c>
      <c r="F781" t="s">
        <v>7</v>
      </c>
      <c r="G781" t="s">
        <v>194</v>
      </c>
      <c r="H781" t="s">
        <v>146</v>
      </c>
      <c r="I781">
        <v>44.6</v>
      </c>
    </row>
    <row r="782" spans="1:9" x14ac:dyDescent="0.25">
      <c r="A782" s="1">
        <v>843</v>
      </c>
      <c r="B782" s="2">
        <v>42664.42083333333</v>
      </c>
      <c r="C782" s="2" t="str">
        <f t="shared" si="14"/>
        <v>10</v>
      </c>
      <c r="D782" s="2">
        <v>42664.431250000001</v>
      </c>
      <c r="E782" s="2" t="str">
        <f t="shared" si="14"/>
        <v>10</v>
      </c>
      <c r="F782" t="s">
        <v>7</v>
      </c>
      <c r="G782" t="s">
        <v>146</v>
      </c>
      <c r="H782" t="s">
        <v>145</v>
      </c>
      <c r="I782">
        <v>13.2</v>
      </c>
    </row>
    <row r="783" spans="1:9" x14ac:dyDescent="0.25">
      <c r="A783" s="1">
        <v>844</v>
      </c>
      <c r="B783" s="2">
        <v>42665.037499999999</v>
      </c>
      <c r="C783" s="2" t="str">
        <f t="shared" si="14"/>
        <v>10</v>
      </c>
      <c r="D783" s="2">
        <v>42665.04791666667</v>
      </c>
      <c r="E783" s="2" t="str">
        <f t="shared" si="14"/>
        <v>10</v>
      </c>
      <c r="F783" t="s">
        <v>7</v>
      </c>
      <c r="G783" t="s">
        <v>16</v>
      </c>
      <c r="H783" t="s">
        <v>15</v>
      </c>
      <c r="I783">
        <v>8.6999999999999993</v>
      </c>
    </row>
    <row r="784" spans="1:9" x14ac:dyDescent="0.25">
      <c r="A784" s="1">
        <v>845</v>
      </c>
      <c r="B784" s="2">
        <v>42665.55972222222</v>
      </c>
      <c r="C784" s="2" t="str">
        <f t="shared" si="14"/>
        <v>10</v>
      </c>
      <c r="D784" s="2">
        <v>42665.585416666669</v>
      </c>
      <c r="E784" s="2" t="str">
        <f t="shared" si="14"/>
        <v>10</v>
      </c>
      <c r="F784" t="s">
        <v>7</v>
      </c>
      <c r="G784" t="s">
        <v>15</v>
      </c>
      <c r="H784" t="s">
        <v>40</v>
      </c>
      <c r="I784">
        <v>17.2</v>
      </c>
    </row>
    <row r="785" spans="1:10" x14ac:dyDescent="0.25">
      <c r="A785" s="1">
        <v>846</v>
      </c>
      <c r="B785" s="2">
        <v>42665.713888888888</v>
      </c>
      <c r="C785" s="2" t="str">
        <f t="shared" si="14"/>
        <v>10</v>
      </c>
      <c r="D785" s="2">
        <v>42665.746527777781</v>
      </c>
      <c r="E785" s="2" t="str">
        <f t="shared" si="14"/>
        <v>10</v>
      </c>
      <c r="F785" t="s">
        <v>7</v>
      </c>
      <c r="G785" t="s">
        <v>40</v>
      </c>
      <c r="H785" t="s">
        <v>15</v>
      </c>
      <c r="I785">
        <v>14</v>
      </c>
    </row>
    <row r="786" spans="1:10" x14ac:dyDescent="0.25">
      <c r="A786" s="1">
        <v>847</v>
      </c>
      <c r="B786" s="2">
        <v>42666.39166666667</v>
      </c>
      <c r="C786" s="2" t="str">
        <f t="shared" si="14"/>
        <v>10</v>
      </c>
      <c r="D786" s="2">
        <v>42666.420138888891</v>
      </c>
      <c r="E786" s="2" t="str">
        <f t="shared" si="14"/>
        <v>10</v>
      </c>
      <c r="F786" t="s">
        <v>7</v>
      </c>
      <c r="G786" t="s">
        <v>15</v>
      </c>
      <c r="H786" t="s">
        <v>40</v>
      </c>
      <c r="I786">
        <v>28.1</v>
      </c>
    </row>
    <row r="787" spans="1:10" x14ac:dyDescent="0.25">
      <c r="A787" s="1">
        <v>848</v>
      </c>
      <c r="B787" s="2">
        <v>42666.511805555558</v>
      </c>
      <c r="C787" s="2" t="str">
        <f t="shared" si="14"/>
        <v>10</v>
      </c>
      <c r="D787" s="2">
        <v>42666.540972222218</v>
      </c>
      <c r="E787" s="2" t="str">
        <f t="shared" si="14"/>
        <v>10</v>
      </c>
      <c r="F787" t="s">
        <v>7</v>
      </c>
      <c r="G787" t="s">
        <v>40</v>
      </c>
      <c r="H787" t="s">
        <v>15</v>
      </c>
      <c r="I787">
        <v>28.2</v>
      </c>
    </row>
    <row r="788" spans="1:10" x14ac:dyDescent="0.25">
      <c r="A788" s="1">
        <v>849</v>
      </c>
      <c r="B788" s="2">
        <v>42666.794444444437</v>
      </c>
      <c r="C788" s="2" t="str">
        <f t="shared" si="14"/>
        <v>10</v>
      </c>
      <c r="D788" s="2">
        <v>42666.801388888889</v>
      </c>
      <c r="E788" s="2" t="str">
        <f t="shared" si="14"/>
        <v>10</v>
      </c>
      <c r="F788" t="s">
        <v>7</v>
      </c>
      <c r="G788" t="s">
        <v>15</v>
      </c>
      <c r="H788" t="s">
        <v>16</v>
      </c>
      <c r="I788">
        <v>3.1</v>
      </c>
      <c r="J788" t="s">
        <v>9</v>
      </c>
    </row>
    <row r="789" spans="1:10" x14ac:dyDescent="0.25">
      <c r="A789" s="1">
        <v>850</v>
      </c>
      <c r="B789" s="2">
        <v>42666.881944444453</v>
      </c>
      <c r="C789" s="2" t="str">
        <f t="shared" si="14"/>
        <v>10</v>
      </c>
      <c r="D789" s="2">
        <v>42666.892361111109</v>
      </c>
      <c r="E789" s="2" t="str">
        <f t="shared" si="14"/>
        <v>10</v>
      </c>
      <c r="F789" t="s">
        <v>7</v>
      </c>
      <c r="G789" t="s">
        <v>16</v>
      </c>
      <c r="H789" t="s">
        <v>15</v>
      </c>
      <c r="I789">
        <v>3.1</v>
      </c>
      <c r="J789" t="s">
        <v>13</v>
      </c>
    </row>
    <row r="790" spans="1:10" x14ac:dyDescent="0.25">
      <c r="A790" s="1">
        <v>851</v>
      </c>
      <c r="B790" s="2">
        <v>42667.622916666667</v>
      </c>
      <c r="C790" s="2" t="str">
        <f t="shared" si="14"/>
        <v>10</v>
      </c>
      <c r="D790" s="2">
        <v>42667.643055555563</v>
      </c>
      <c r="E790" s="2" t="str">
        <f t="shared" si="14"/>
        <v>10</v>
      </c>
      <c r="F790" t="s">
        <v>7</v>
      </c>
      <c r="G790" t="s">
        <v>15</v>
      </c>
      <c r="H790" t="s">
        <v>36</v>
      </c>
      <c r="I790">
        <v>16.399999999999999</v>
      </c>
    </row>
    <row r="791" spans="1:10" x14ac:dyDescent="0.25">
      <c r="A791" s="1">
        <v>852</v>
      </c>
      <c r="B791" s="2">
        <v>42667.647916666669</v>
      </c>
      <c r="C791" s="2" t="str">
        <f t="shared" si="14"/>
        <v>10</v>
      </c>
      <c r="D791" s="2">
        <v>42667.675694444442</v>
      </c>
      <c r="E791" s="2" t="str">
        <f t="shared" si="14"/>
        <v>10</v>
      </c>
      <c r="F791" t="s">
        <v>7</v>
      </c>
      <c r="G791" t="s">
        <v>36</v>
      </c>
      <c r="H791" t="s">
        <v>16</v>
      </c>
      <c r="I791">
        <v>15.4</v>
      </c>
    </row>
    <row r="792" spans="1:10" x14ac:dyDescent="0.25">
      <c r="A792" s="1">
        <v>853</v>
      </c>
      <c r="B792" s="2">
        <v>42667.69027777778</v>
      </c>
      <c r="C792" s="2" t="str">
        <f t="shared" si="14"/>
        <v>10</v>
      </c>
      <c r="D792" s="2">
        <v>42667.695138888892</v>
      </c>
      <c r="E792" s="2" t="str">
        <f t="shared" si="14"/>
        <v>10</v>
      </c>
      <c r="F792" t="s">
        <v>7</v>
      </c>
      <c r="G792" t="s">
        <v>16</v>
      </c>
      <c r="H792" t="s">
        <v>15</v>
      </c>
      <c r="I792">
        <v>2.2000000000000002</v>
      </c>
    </row>
    <row r="793" spans="1:10" x14ac:dyDescent="0.25">
      <c r="A793" s="1">
        <v>854</v>
      </c>
      <c r="B793" s="2">
        <v>42668.560416666667</v>
      </c>
      <c r="C793" s="2" t="str">
        <f t="shared" si="14"/>
        <v>10</v>
      </c>
      <c r="D793" s="2">
        <v>42668.588888888888</v>
      </c>
      <c r="E793" s="2" t="str">
        <f t="shared" si="14"/>
        <v>10</v>
      </c>
      <c r="F793" t="s">
        <v>7</v>
      </c>
      <c r="G793" t="s">
        <v>15</v>
      </c>
      <c r="H793" t="s">
        <v>48</v>
      </c>
      <c r="I793">
        <v>11.2</v>
      </c>
    </row>
    <row r="794" spans="1:10" x14ac:dyDescent="0.25">
      <c r="A794" s="1">
        <v>855</v>
      </c>
      <c r="B794" s="2">
        <v>42668.62777777778</v>
      </c>
      <c r="C794" s="2" t="str">
        <f t="shared" si="14"/>
        <v>10</v>
      </c>
      <c r="D794" s="2">
        <v>42668.632638888892</v>
      </c>
      <c r="E794" s="2" t="str">
        <f t="shared" si="14"/>
        <v>10</v>
      </c>
      <c r="F794" t="s">
        <v>7</v>
      </c>
      <c r="G794" t="s">
        <v>48</v>
      </c>
      <c r="H794" t="s">
        <v>195</v>
      </c>
      <c r="I794">
        <v>2.2000000000000002</v>
      </c>
    </row>
    <row r="795" spans="1:10" x14ac:dyDescent="0.25">
      <c r="A795" s="1">
        <v>856</v>
      </c>
      <c r="B795" s="2">
        <v>42668.636111111111</v>
      </c>
      <c r="C795" s="2" t="str">
        <f t="shared" si="14"/>
        <v>10</v>
      </c>
      <c r="D795" s="2">
        <v>42668.647916666669</v>
      </c>
      <c r="E795" s="2" t="str">
        <f t="shared" si="14"/>
        <v>10</v>
      </c>
      <c r="F795" t="s">
        <v>7</v>
      </c>
      <c r="G795" t="s">
        <v>195</v>
      </c>
      <c r="H795" t="s">
        <v>15</v>
      </c>
      <c r="I795">
        <v>3.6</v>
      </c>
    </row>
    <row r="796" spans="1:10" x14ac:dyDescent="0.25">
      <c r="A796" s="1">
        <v>857</v>
      </c>
      <c r="B796" s="2">
        <v>42668.833333333343</v>
      </c>
      <c r="C796" s="2" t="str">
        <f t="shared" si="14"/>
        <v>10</v>
      </c>
      <c r="D796" s="2">
        <v>42668.84097222222</v>
      </c>
      <c r="E796" s="2" t="str">
        <f t="shared" si="14"/>
        <v>10</v>
      </c>
      <c r="F796" t="s">
        <v>7</v>
      </c>
      <c r="G796" t="s">
        <v>38</v>
      </c>
      <c r="H796" t="s">
        <v>131</v>
      </c>
      <c r="I796">
        <v>3.6</v>
      </c>
      <c r="J796" t="s">
        <v>9</v>
      </c>
    </row>
    <row r="797" spans="1:10" x14ac:dyDescent="0.25">
      <c r="A797" s="1">
        <v>858</v>
      </c>
      <c r="B797" s="2">
        <v>42668.870833333327</v>
      </c>
      <c r="C797" s="2" t="str">
        <f t="shared" si="14"/>
        <v>10</v>
      </c>
      <c r="D797" s="2">
        <v>42668.877083333333</v>
      </c>
      <c r="E797" s="2" t="str">
        <f t="shared" si="14"/>
        <v>10</v>
      </c>
      <c r="F797" t="s">
        <v>7</v>
      </c>
      <c r="G797" t="s">
        <v>131</v>
      </c>
      <c r="H797" t="s">
        <v>116</v>
      </c>
      <c r="I797">
        <v>4.9000000000000004</v>
      </c>
    </row>
    <row r="798" spans="1:10" x14ac:dyDescent="0.25">
      <c r="A798" s="1">
        <v>859</v>
      </c>
      <c r="B798" s="2">
        <v>42668.933333333327</v>
      </c>
      <c r="C798" s="2" t="str">
        <f t="shared" si="14"/>
        <v>10</v>
      </c>
      <c r="D798" s="2">
        <v>42668.947916666657</v>
      </c>
      <c r="E798" s="2" t="str">
        <f t="shared" si="14"/>
        <v>10</v>
      </c>
      <c r="F798" t="s">
        <v>7</v>
      </c>
      <c r="G798" t="s">
        <v>116</v>
      </c>
      <c r="H798" t="s">
        <v>38</v>
      </c>
      <c r="I798">
        <v>8.6999999999999993</v>
      </c>
      <c r="J798" t="s">
        <v>10</v>
      </c>
    </row>
    <row r="799" spans="1:10" x14ac:dyDescent="0.25">
      <c r="A799" s="1">
        <v>860</v>
      </c>
      <c r="B799" s="2">
        <v>42669.809027777781</v>
      </c>
      <c r="C799" s="2" t="str">
        <f t="shared" si="14"/>
        <v>10</v>
      </c>
      <c r="D799" s="2">
        <v>42669.813194444447</v>
      </c>
      <c r="E799" s="2" t="str">
        <f t="shared" si="14"/>
        <v>10</v>
      </c>
      <c r="F799" t="s">
        <v>7</v>
      </c>
      <c r="G799" t="s">
        <v>38</v>
      </c>
      <c r="H799" t="s">
        <v>116</v>
      </c>
      <c r="I799">
        <v>2.1</v>
      </c>
      <c r="J799" t="s">
        <v>11</v>
      </c>
    </row>
    <row r="800" spans="1:10" x14ac:dyDescent="0.25">
      <c r="A800" s="1">
        <v>861</v>
      </c>
      <c r="B800" s="2">
        <v>42669.870138888888</v>
      </c>
      <c r="C800" s="2" t="str">
        <f t="shared" si="14"/>
        <v>10</v>
      </c>
      <c r="D800" s="2">
        <v>42669.877083333333</v>
      </c>
      <c r="E800" s="2" t="str">
        <f t="shared" si="14"/>
        <v>10</v>
      </c>
      <c r="F800" t="s">
        <v>7</v>
      </c>
      <c r="G800" t="s">
        <v>116</v>
      </c>
      <c r="H800" t="s">
        <v>38</v>
      </c>
      <c r="I800">
        <v>2.1</v>
      </c>
    </row>
    <row r="801" spans="1:10" x14ac:dyDescent="0.25">
      <c r="A801" s="1">
        <v>862</v>
      </c>
      <c r="B801" s="2">
        <v>42670.785416666673</v>
      </c>
      <c r="C801" s="2" t="str">
        <f t="shared" si="14"/>
        <v>10</v>
      </c>
      <c r="D801" s="2">
        <v>42670.802777777782</v>
      </c>
      <c r="E801" s="2" t="str">
        <f t="shared" si="14"/>
        <v>10</v>
      </c>
      <c r="F801" t="s">
        <v>7</v>
      </c>
      <c r="G801" t="s">
        <v>15</v>
      </c>
      <c r="H801" t="s">
        <v>16</v>
      </c>
      <c r="I801">
        <v>8.4</v>
      </c>
      <c r="J801" t="s">
        <v>11</v>
      </c>
    </row>
    <row r="802" spans="1:10" x14ac:dyDescent="0.25">
      <c r="A802" s="1">
        <v>863</v>
      </c>
      <c r="B802" s="2">
        <v>42670.805555555547</v>
      </c>
      <c r="C802" s="2" t="str">
        <f t="shared" si="14"/>
        <v>10</v>
      </c>
      <c r="D802" s="2">
        <v>42670.815972222219</v>
      </c>
      <c r="E802" s="2" t="str">
        <f t="shared" si="14"/>
        <v>10</v>
      </c>
      <c r="F802" t="s">
        <v>7</v>
      </c>
      <c r="G802" t="s">
        <v>16</v>
      </c>
      <c r="H802" t="s">
        <v>16</v>
      </c>
      <c r="I802">
        <v>5.9</v>
      </c>
    </row>
    <row r="803" spans="1:10" x14ac:dyDescent="0.25">
      <c r="A803" s="1">
        <v>864</v>
      </c>
      <c r="B803" s="2">
        <v>42670.827777777777</v>
      </c>
      <c r="C803" s="2" t="str">
        <f t="shared" si="14"/>
        <v>10</v>
      </c>
      <c r="D803" s="2">
        <v>42670.847916666673</v>
      </c>
      <c r="E803" s="2" t="str">
        <f t="shared" si="14"/>
        <v>10</v>
      </c>
      <c r="F803" t="s">
        <v>7</v>
      </c>
      <c r="G803" t="s">
        <v>135</v>
      </c>
      <c r="H803" t="s">
        <v>135</v>
      </c>
      <c r="I803">
        <v>12.1</v>
      </c>
    </row>
    <row r="804" spans="1:10" x14ac:dyDescent="0.25">
      <c r="A804" s="1">
        <v>865</v>
      </c>
      <c r="B804" s="2">
        <v>42670.865972222222</v>
      </c>
      <c r="C804" s="2" t="str">
        <f t="shared" si="14"/>
        <v>10</v>
      </c>
      <c r="D804" s="2">
        <v>42670.870833333327</v>
      </c>
      <c r="E804" s="2" t="str">
        <f t="shared" si="14"/>
        <v>10</v>
      </c>
      <c r="F804" t="s">
        <v>7</v>
      </c>
      <c r="G804" t="s">
        <v>135</v>
      </c>
      <c r="H804" t="s">
        <v>75</v>
      </c>
      <c r="I804">
        <v>3.9</v>
      </c>
    </row>
    <row r="805" spans="1:10" x14ac:dyDescent="0.25">
      <c r="A805" s="1">
        <v>866</v>
      </c>
      <c r="B805" s="2">
        <v>42670.893055555563</v>
      </c>
      <c r="C805" s="2" t="str">
        <f t="shared" si="14"/>
        <v>10</v>
      </c>
      <c r="D805" s="2">
        <v>42670.908333333333</v>
      </c>
      <c r="E805" s="2" t="str">
        <f t="shared" si="14"/>
        <v>10</v>
      </c>
      <c r="F805" t="s">
        <v>7</v>
      </c>
      <c r="G805" t="s">
        <v>16</v>
      </c>
      <c r="H805" t="s">
        <v>15</v>
      </c>
      <c r="I805">
        <v>6.2</v>
      </c>
    </row>
    <row r="806" spans="1:10" x14ac:dyDescent="0.25">
      <c r="A806" s="1">
        <v>867</v>
      </c>
      <c r="B806" s="2">
        <v>42671.481944444437</v>
      </c>
      <c r="C806" s="2" t="str">
        <f t="shared" si="14"/>
        <v>10</v>
      </c>
      <c r="D806" s="2">
        <v>42671.494444444441</v>
      </c>
      <c r="E806" s="2" t="str">
        <f t="shared" si="14"/>
        <v>10</v>
      </c>
      <c r="F806" t="s">
        <v>7</v>
      </c>
      <c r="G806" t="s">
        <v>15</v>
      </c>
      <c r="H806" t="s">
        <v>36</v>
      </c>
      <c r="I806">
        <v>10.4</v>
      </c>
      <c r="J806" t="s">
        <v>11</v>
      </c>
    </row>
    <row r="807" spans="1:10" x14ac:dyDescent="0.25">
      <c r="A807" s="1">
        <v>868</v>
      </c>
      <c r="B807" s="2">
        <v>42671.54583333333</v>
      </c>
      <c r="C807" s="2" t="str">
        <f t="shared" si="14"/>
        <v>10</v>
      </c>
      <c r="D807" s="2">
        <v>42671.566666666673</v>
      </c>
      <c r="E807" s="2" t="str">
        <f t="shared" si="14"/>
        <v>10</v>
      </c>
      <c r="F807" t="s">
        <v>7</v>
      </c>
      <c r="G807" t="s">
        <v>36</v>
      </c>
      <c r="H807" t="s">
        <v>15</v>
      </c>
      <c r="I807">
        <v>9.9</v>
      </c>
      <c r="J807" t="s">
        <v>11</v>
      </c>
    </row>
    <row r="808" spans="1:10" x14ac:dyDescent="0.25">
      <c r="A808" s="1">
        <v>869</v>
      </c>
      <c r="B808" s="2">
        <v>42671.661805555559</v>
      </c>
      <c r="C808" s="2" t="str">
        <f t="shared" si="14"/>
        <v>10</v>
      </c>
      <c r="D808" s="2">
        <v>42671.749305555553</v>
      </c>
      <c r="E808" s="2" t="str">
        <f t="shared" si="14"/>
        <v>10</v>
      </c>
      <c r="F808" t="s">
        <v>7</v>
      </c>
      <c r="G808" t="s">
        <v>15</v>
      </c>
      <c r="H808" t="s">
        <v>196</v>
      </c>
      <c r="I808">
        <v>107</v>
      </c>
      <c r="J808" t="s">
        <v>11</v>
      </c>
    </row>
    <row r="809" spans="1:10" x14ac:dyDescent="0.25">
      <c r="A809" s="1">
        <v>870</v>
      </c>
      <c r="B809" s="2">
        <v>42671.759027777778</v>
      </c>
      <c r="C809" s="2" t="str">
        <f t="shared" si="14"/>
        <v>10</v>
      </c>
      <c r="D809" s="2">
        <v>42671.838194444441</v>
      </c>
      <c r="E809" s="2" t="str">
        <f t="shared" si="14"/>
        <v>10</v>
      </c>
      <c r="F809" t="s">
        <v>7</v>
      </c>
      <c r="G809" t="s">
        <v>196</v>
      </c>
      <c r="H809" t="s">
        <v>197</v>
      </c>
      <c r="I809">
        <v>133.6</v>
      </c>
      <c r="J809" t="s">
        <v>11</v>
      </c>
    </row>
    <row r="810" spans="1:10" x14ac:dyDescent="0.25">
      <c r="A810" s="1">
        <v>871</v>
      </c>
      <c r="B810" s="2">
        <v>42671.842361111107</v>
      </c>
      <c r="C810" s="2" t="str">
        <f t="shared" si="14"/>
        <v>10</v>
      </c>
      <c r="D810" s="2">
        <v>42671.916666666657</v>
      </c>
      <c r="E810" s="2" t="str">
        <f t="shared" si="14"/>
        <v>10</v>
      </c>
      <c r="F810" t="s">
        <v>7</v>
      </c>
      <c r="G810" t="s">
        <v>197</v>
      </c>
      <c r="H810" t="s">
        <v>198</v>
      </c>
      <c r="I810">
        <v>91.8</v>
      </c>
      <c r="J810" t="s">
        <v>11</v>
      </c>
    </row>
    <row r="811" spans="1:10" x14ac:dyDescent="0.25">
      <c r="A811" s="1">
        <v>872</v>
      </c>
      <c r="B811" s="2">
        <v>42672.640277777777</v>
      </c>
      <c r="C811" s="2" t="str">
        <f t="shared" si="14"/>
        <v>10</v>
      </c>
      <c r="D811" s="2">
        <v>42672.711805555547</v>
      </c>
      <c r="E811" s="2" t="str">
        <f t="shared" si="14"/>
        <v>10</v>
      </c>
      <c r="F811" t="s">
        <v>7</v>
      </c>
      <c r="G811" t="s">
        <v>198</v>
      </c>
      <c r="H811" t="s">
        <v>199</v>
      </c>
      <c r="I811">
        <v>40.700000000000003</v>
      </c>
      <c r="J811" t="s">
        <v>11</v>
      </c>
    </row>
    <row r="812" spans="1:10" x14ac:dyDescent="0.25">
      <c r="A812" s="1">
        <v>873</v>
      </c>
      <c r="B812" s="2">
        <v>42672.717361111107</v>
      </c>
      <c r="C812" s="2" t="str">
        <f t="shared" si="14"/>
        <v>10</v>
      </c>
      <c r="D812" s="2">
        <v>42672.804861111108</v>
      </c>
      <c r="E812" s="2" t="str">
        <f t="shared" si="14"/>
        <v>10</v>
      </c>
      <c r="F812" t="s">
        <v>7</v>
      </c>
      <c r="G812" t="s">
        <v>199</v>
      </c>
      <c r="H812" t="s">
        <v>198</v>
      </c>
      <c r="I812">
        <v>75.7</v>
      </c>
    </row>
    <row r="813" spans="1:10" x14ac:dyDescent="0.25">
      <c r="A813" s="1">
        <v>874</v>
      </c>
      <c r="B813" s="2">
        <v>42673.325694444437</v>
      </c>
      <c r="C813" s="2" t="str">
        <f t="shared" si="14"/>
        <v>10</v>
      </c>
      <c r="D813" s="2">
        <v>42673.354166666657</v>
      </c>
      <c r="E813" s="2" t="str">
        <f t="shared" si="14"/>
        <v>10</v>
      </c>
      <c r="F813" t="s">
        <v>7</v>
      </c>
      <c r="G813" t="s">
        <v>198</v>
      </c>
      <c r="H813" t="s">
        <v>200</v>
      </c>
      <c r="I813">
        <v>29.8</v>
      </c>
    </row>
    <row r="814" spans="1:10" x14ac:dyDescent="0.25">
      <c r="A814" s="1">
        <v>875</v>
      </c>
      <c r="B814" s="2">
        <v>42673.379861111112</v>
      </c>
      <c r="C814" s="2" t="str">
        <f t="shared" si="14"/>
        <v>10</v>
      </c>
      <c r="D814" s="2">
        <v>42673.42291666667</v>
      </c>
      <c r="E814" s="2" t="str">
        <f t="shared" si="14"/>
        <v>10</v>
      </c>
      <c r="F814" t="s">
        <v>7</v>
      </c>
      <c r="G814" t="s">
        <v>200</v>
      </c>
      <c r="H814" t="s">
        <v>200</v>
      </c>
      <c r="I814">
        <v>16.3</v>
      </c>
    </row>
    <row r="815" spans="1:10" x14ac:dyDescent="0.25">
      <c r="A815" s="1">
        <v>876</v>
      </c>
      <c r="B815" s="2">
        <v>42673.424305555563</v>
      </c>
      <c r="C815" s="2" t="str">
        <f t="shared" si="14"/>
        <v>10</v>
      </c>
      <c r="D815" s="2">
        <v>42673.443055555559</v>
      </c>
      <c r="E815" s="2" t="str">
        <f t="shared" si="14"/>
        <v>10</v>
      </c>
      <c r="F815" t="s">
        <v>7</v>
      </c>
      <c r="G815" t="s">
        <v>200</v>
      </c>
      <c r="H815" t="s">
        <v>200</v>
      </c>
      <c r="I815">
        <v>6.5</v>
      </c>
    </row>
    <row r="816" spans="1:10" x14ac:dyDescent="0.25">
      <c r="A816" s="1">
        <v>877</v>
      </c>
      <c r="B816" s="2">
        <v>42673.45208333333</v>
      </c>
      <c r="C816" s="2" t="str">
        <f t="shared" si="14"/>
        <v>10</v>
      </c>
      <c r="D816" s="2">
        <v>42673.472916666673</v>
      </c>
      <c r="E816" s="2" t="str">
        <f t="shared" si="14"/>
        <v>10</v>
      </c>
      <c r="F816" t="s">
        <v>7</v>
      </c>
      <c r="G816" t="s">
        <v>200</v>
      </c>
      <c r="H816" t="s">
        <v>200</v>
      </c>
      <c r="I816">
        <v>6.3</v>
      </c>
    </row>
    <row r="817" spans="1:10" x14ac:dyDescent="0.25">
      <c r="A817" s="1">
        <v>878</v>
      </c>
      <c r="B817" s="2">
        <v>42673.51666666667</v>
      </c>
      <c r="C817" s="2" t="str">
        <f t="shared" si="14"/>
        <v>10</v>
      </c>
      <c r="D817" s="2">
        <v>42673.524305555547</v>
      </c>
      <c r="E817" s="2" t="str">
        <f t="shared" si="14"/>
        <v>10</v>
      </c>
      <c r="F817" t="s">
        <v>7</v>
      </c>
      <c r="G817" t="s">
        <v>200</v>
      </c>
      <c r="H817" t="s">
        <v>201</v>
      </c>
      <c r="I817">
        <v>6.6</v>
      </c>
    </row>
    <row r="818" spans="1:10" x14ac:dyDescent="0.25">
      <c r="A818" s="1">
        <v>879</v>
      </c>
      <c r="B818" s="2">
        <v>42673.540277777778</v>
      </c>
      <c r="C818" s="2" t="str">
        <f t="shared" si="14"/>
        <v>10</v>
      </c>
      <c r="D818" s="2">
        <v>42673.554166666669</v>
      </c>
      <c r="E818" s="2" t="str">
        <f t="shared" si="14"/>
        <v>10</v>
      </c>
      <c r="F818" t="s">
        <v>7</v>
      </c>
      <c r="G818" t="s">
        <v>201</v>
      </c>
      <c r="H818" t="s">
        <v>200</v>
      </c>
      <c r="I818">
        <v>15.2</v>
      </c>
    </row>
    <row r="819" spans="1:10" x14ac:dyDescent="0.25">
      <c r="A819" s="1">
        <v>880</v>
      </c>
      <c r="B819" s="2">
        <v>42673.558333333327</v>
      </c>
      <c r="C819" s="2" t="str">
        <f t="shared" si="14"/>
        <v>10</v>
      </c>
      <c r="D819" s="2">
        <v>42673.609027777777</v>
      </c>
      <c r="E819" s="2" t="str">
        <f t="shared" si="14"/>
        <v>10</v>
      </c>
      <c r="F819" t="s">
        <v>7</v>
      </c>
      <c r="G819" t="s">
        <v>200</v>
      </c>
      <c r="H819" t="s">
        <v>197</v>
      </c>
      <c r="I819">
        <v>68.400000000000006</v>
      </c>
    </row>
    <row r="820" spans="1:10" x14ac:dyDescent="0.25">
      <c r="A820" s="1">
        <v>881</v>
      </c>
      <c r="B820" s="2">
        <v>42673.640277777777</v>
      </c>
      <c r="C820" s="2" t="str">
        <f t="shared" si="14"/>
        <v>10</v>
      </c>
      <c r="D820" s="2">
        <v>42673.765972222223</v>
      </c>
      <c r="E820" s="2" t="str">
        <f t="shared" si="14"/>
        <v>10</v>
      </c>
      <c r="F820" t="s">
        <v>7</v>
      </c>
      <c r="G820" t="s">
        <v>197</v>
      </c>
      <c r="H820" t="s">
        <v>202</v>
      </c>
      <c r="I820">
        <v>195.9</v>
      </c>
    </row>
    <row r="821" spans="1:10" x14ac:dyDescent="0.25">
      <c r="A821" s="1">
        <v>882</v>
      </c>
      <c r="B821" s="2">
        <v>42673.768055555563</v>
      </c>
      <c r="C821" s="2" t="str">
        <f t="shared" si="14"/>
        <v>10</v>
      </c>
      <c r="D821" s="2">
        <v>42673.818749999999</v>
      </c>
      <c r="E821" s="2" t="str">
        <f t="shared" si="14"/>
        <v>10</v>
      </c>
      <c r="F821" t="s">
        <v>7</v>
      </c>
      <c r="G821" t="s">
        <v>202</v>
      </c>
      <c r="H821" t="s">
        <v>15</v>
      </c>
      <c r="I821">
        <v>45.2</v>
      </c>
    </row>
    <row r="822" spans="1:10" x14ac:dyDescent="0.25">
      <c r="A822" s="1">
        <v>883</v>
      </c>
      <c r="B822" s="2">
        <v>42674.757638888892</v>
      </c>
      <c r="C822" s="2" t="str">
        <f t="shared" si="14"/>
        <v>10</v>
      </c>
      <c r="D822" s="2">
        <v>42674.763888888891</v>
      </c>
      <c r="E822" s="2" t="str">
        <f t="shared" si="14"/>
        <v>10</v>
      </c>
      <c r="F822" t="s">
        <v>7</v>
      </c>
      <c r="G822" t="s">
        <v>15</v>
      </c>
      <c r="H822" t="s">
        <v>16</v>
      </c>
      <c r="I822">
        <v>3.2</v>
      </c>
    </row>
    <row r="823" spans="1:10" x14ac:dyDescent="0.25">
      <c r="A823" s="1">
        <v>884</v>
      </c>
      <c r="B823" s="2">
        <v>42674.782638888893</v>
      </c>
      <c r="C823" s="2" t="str">
        <f t="shared" si="14"/>
        <v>10</v>
      </c>
      <c r="D823" s="2">
        <v>42674.802777777782</v>
      </c>
      <c r="E823" s="2" t="str">
        <f t="shared" si="14"/>
        <v>10</v>
      </c>
      <c r="F823" t="s">
        <v>7</v>
      </c>
      <c r="G823" t="s">
        <v>16</v>
      </c>
      <c r="H823" t="s">
        <v>40</v>
      </c>
      <c r="I823">
        <v>10.3</v>
      </c>
    </row>
    <row r="824" spans="1:10" x14ac:dyDescent="0.25">
      <c r="A824" s="1">
        <v>885</v>
      </c>
      <c r="B824" s="2">
        <v>42674.845833333333</v>
      </c>
      <c r="C824" s="2" t="str">
        <f t="shared" si="14"/>
        <v>10</v>
      </c>
      <c r="D824" s="2">
        <v>42674.863888888889</v>
      </c>
      <c r="E824" s="2" t="str">
        <f t="shared" si="14"/>
        <v>10</v>
      </c>
      <c r="F824" t="s">
        <v>7</v>
      </c>
      <c r="G824" t="s">
        <v>40</v>
      </c>
      <c r="H824" t="s">
        <v>15</v>
      </c>
      <c r="I824">
        <v>13.1</v>
      </c>
    </row>
    <row r="825" spans="1:10" x14ac:dyDescent="0.25">
      <c r="A825" s="1">
        <v>886</v>
      </c>
      <c r="B825" s="2">
        <v>42674.90625</v>
      </c>
      <c r="C825" s="2" t="str">
        <f t="shared" si="14"/>
        <v>10</v>
      </c>
      <c r="D825" s="2">
        <v>42674.923611111109</v>
      </c>
      <c r="E825" s="2" t="str">
        <f t="shared" si="14"/>
        <v>10</v>
      </c>
      <c r="F825" t="s">
        <v>7</v>
      </c>
      <c r="G825" t="s">
        <v>131</v>
      </c>
      <c r="H825" t="s">
        <v>38</v>
      </c>
      <c r="I825">
        <v>9.6</v>
      </c>
      <c r="J825" t="s">
        <v>10</v>
      </c>
    </row>
    <row r="826" spans="1:10" x14ac:dyDescent="0.25">
      <c r="A826" s="1">
        <v>887</v>
      </c>
      <c r="B826" s="2">
        <v>42675.493055555547</v>
      </c>
      <c r="C826" s="2" t="str">
        <f t="shared" si="14"/>
        <v>11</v>
      </c>
      <c r="D826" s="2">
        <v>42675.518750000003</v>
      </c>
      <c r="E826" s="2" t="str">
        <f t="shared" si="14"/>
        <v>11</v>
      </c>
      <c r="F826" t="s">
        <v>7</v>
      </c>
      <c r="G826" t="s">
        <v>15</v>
      </c>
      <c r="H826" t="s">
        <v>36</v>
      </c>
      <c r="I826">
        <v>16.5</v>
      </c>
    </row>
    <row r="827" spans="1:10" x14ac:dyDescent="0.25">
      <c r="A827" s="1">
        <v>888</v>
      </c>
      <c r="B827" s="2">
        <v>42675.686805555553</v>
      </c>
      <c r="C827" s="2" t="str">
        <f t="shared" si="14"/>
        <v>11</v>
      </c>
      <c r="D827" s="2">
        <v>42675.709722222222</v>
      </c>
      <c r="E827" s="2" t="str">
        <f t="shared" si="14"/>
        <v>11</v>
      </c>
      <c r="F827" t="s">
        <v>7</v>
      </c>
      <c r="G827" t="s">
        <v>36</v>
      </c>
      <c r="H827" t="s">
        <v>15</v>
      </c>
      <c r="I827">
        <v>12.8</v>
      </c>
    </row>
    <row r="828" spans="1:10" x14ac:dyDescent="0.25">
      <c r="A828" s="1">
        <v>889</v>
      </c>
      <c r="B828" s="2">
        <v>42675.732638888891</v>
      </c>
      <c r="C828" s="2" t="str">
        <f t="shared" si="14"/>
        <v>11</v>
      </c>
      <c r="D828" s="2">
        <v>42675.737500000003</v>
      </c>
      <c r="E828" s="2" t="str">
        <f t="shared" si="14"/>
        <v>11</v>
      </c>
      <c r="F828" t="s">
        <v>7</v>
      </c>
      <c r="G828" t="s">
        <v>38</v>
      </c>
      <c r="H828" t="s">
        <v>38</v>
      </c>
      <c r="I828">
        <v>1.2</v>
      </c>
    </row>
    <row r="829" spans="1:10" x14ac:dyDescent="0.25">
      <c r="A829" s="1">
        <v>890</v>
      </c>
      <c r="B829" s="2">
        <v>42675.801388888889</v>
      </c>
      <c r="C829" s="2" t="str">
        <f t="shared" si="14"/>
        <v>11</v>
      </c>
      <c r="D829" s="2">
        <v>42675.805555555547</v>
      </c>
      <c r="E829" s="2" t="str">
        <f t="shared" si="14"/>
        <v>11</v>
      </c>
      <c r="F829" t="s">
        <v>7</v>
      </c>
      <c r="G829" t="s">
        <v>38</v>
      </c>
      <c r="H829" t="s">
        <v>38</v>
      </c>
      <c r="I829">
        <v>1</v>
      </c>
    </row>
    <row r="830" spans="1:10" x14ac:dyDescent="0.25">
      <c r="A830" s="1">
        <v>891</v>
      </c>
      <c r="B830" s="2">
        <v>42675.832638888889</v>
      </c>
      <c r="C830" s="2" t="str">
        <f t="shared" si="14"/>
        <v>11</v>
      </c>
      <c r="D830" s="2">
        <v>42675.841666666667</v>
      </c>
      <c r="E830" s="2" t="str">
        <f t="shared" si="14"/>
        <v>11</v>
      </c>
      <c r="F830" t="s">
        <v>7</v>
      </c>
      <c r="G830" t="s">
        <v>38</v>
      </c>
      <c r="H830" t="s">
        <v>38</v>
      </c>
      <c r="I830">
        <v>4.0999999999999996</v>
      </c>
    </row>
    <row r="831" spans="1:10" x14ac:dyDescent="0.25">
      <c r="A831" s="1">
        <v>892</v>
      </c>
      <c r="B831" s="2">
        <v>42675.861805555563</v>
      </c>
      <c r="C831" s="2" t="str">
        <f t="shared" si="14"/>
        <v>11</v>
      </c>
      <c r="D831" s="2">
        <v>42675.871527777781</v>
      </c>
      <c r="E831" s="2" t="str">
        <f t="shared" si="14"/>
        <v>11</v>
      </c>
      <c r="F831" t="s">
        <v>7</v>
      </c>
      <c r="G831" t="s">
        <v>38</v>
      </c>
      <c r="H831" t="s">
        <v>38</v>
      </c>
      <c r="I831">
        <v>4.2</v>
      </c>
      <c r="J831" t="s">
        <v>9</v>
      </c>
    </row>
    <row r="832" spans="1:10" x14ac:dyDescent="0.25">
      <c r="A832" s="1">
        <v>893</v>
      </c>
      <c r="B832" s="2">
        <v>42676.631944444453</v>
      </c>
      <c r="C832" s="2" t="str">
        <f t="shared" si="14"/>
        <v>11</v>
      </c>
      <c r="D832" s="2">
        <v>42676.637499999997</v>
      </c>
      <c r="E832" s="2" t="str">
        <f t="shared" si="14"/>
        <v>11</v>
      </c>
      <c r="F832" t="s">
        <v>7</v>
      </c>
      <c r="G832" t="s">
        <v>38</v>
      </c>
      <c r="H832" t="s">
        <v>44</v>
      </c>
      <c r="I832">
        <v>1.4</v>
      </c>
    </row>
    <row r="833" spans="1:10" x14ac:dyDescent="0.25">
      <c r="A833" s="1">
        <v>894</v>
      </c>
      <c r="B833" s="2">
        <v>42676.65625</v>
      </c>
      <c r="C833" s="2" t="str">
        <f t="shared" si="14"/>
        <v>11</v>
      </c>
      <c r="D833" s="2">
        <v>42676.661111111112</v>
      </c>
      <c r="E833" s="2" t="str">
        <f t="shared" si="14"/>
        <v>11</v>
      </c>
      <c r="F833" t="s">
        <v>7</v>
      </c>
      <c r="G833" t="s">
        <v>44</v>
      </c>
      <c r="H833" t="s">
        <v>38</v>
      </c>
      <c r="I833">
        <v>1.8</v>
      </c>
    </row>
    <row r="834" spans="1:10" x14ac:dyDescent="0.25">
      <c r="A834" s="1">
        <v>895</v>
      </c>
      <c r="B834" s="2">
        <v>42676.698611111111</v>
      </c>
      <c r="C834" s="2" t="str">
        <f t="shared" si="14"/>
        <v>11</v>
      </c>
      <c r="D834" s="2">
        <v>42676.71597222222</v>
      </c>
      <c r="E834" s="2" t="str">
        <f t="shared" si="14"/>
        <v>11</v>
      </c>
      <c r="F834" t="s">
        <v>7</v>
      </c>
      <c r="G834" t="s">
        <v>15</v>
      </c>
      <c r="H834" t="s">
        <v>16</v>
      </c>
      <c r="I834">
        <v>8.5</v>
      </c>
      <c r="J834" t="s">
        <v>11</v>
      </c>
    </row>
    <row r="835" spans="1:10" x14ac:dyDescent="0.25">
      <c r="A835" s="1">
        <v>896</v>
      </c>
      <c r="B835" s="2">
        <v>42676.731944444437</v>
      </c>
      <c r="C835" s="2" t="str">
        <f t="shared" ref="C835:E898" si="15" xml:space="preserve"> TEXT(B835, "mm")</f>
        <v>11</v>
      </c>
      <c r="D835" s="2">
        <v>42676.742361111108</v>
      </c>
      <c r="E835" s="2" t="str">
        <f t="shared" si="15"/>
        <v>11</v>
      </c>
      <c r="F835" t="s">
        <v>7</v>
      </c>
      <c r="G835" t="s">
        <v>16</v>
      </c>
      <c r="H835" t="s">
        <v>16</v>
      </c>
      <c r="I835">
        <v>5</v>
      </c>
    </row>
    <row r="836" spans="1:10" x14ac:dyDescent="0.25">
      <c r="A836" s="1">
        <v>897</v>
      </c>
      <c r="B836" s="2">
        <v>42676.745138888888</v>
      </c>
      <c r="C836" s="2" t="str">
        <f t="shared" si="15"/>
        <v>11</v>
      </c>
      <c r="D836" s="2">
        <v>42676.75</v>
      </c>
      <c r="E836" s="2" t="str">
        <f t="shared" si="15"/>
        <v>11</v>
      </c>
      <c r="F836" t="s">
        <v>7</v>
      </c>
      <c r="G836" t="s">
        <v>16</v>
      </c>
      <c r="H836" t="s">
        <v>15</v>
      </c>
      <c r="I836">
        <v>3.8</v>
      </c>
    </row>
    <row r="837" spans="1:10" x14ac:dyDescent="0.25">
      <c r="A837" s="1">
        <v>898</v>
      </c>
      <c r="B837" s="2">
        <v>42677.477777777778</v>
      </c>
      <c r="C837" s="2" t="str">
        <f t="shared" si="15"/>
        <v>11</v>
      </c>
      <c r="D837" s="2">
        <v>42677.481944444437</v>
      </c>
      <c r="E837" s="2" t="str">
        <f t="shared" si="15"/>
        <v>11</v>
      </c>
      <c r="F837" t="s">
        <v>7</v>
      </c>
      <c r="G837" t="s">
        <v>38</v>
      </c>
      <c r="H837" t="s">
        <v>43</v>
      </c>
      <c r="I837">
        <v>2.5</v>
      </c>
    </row>
    <row r="838" spans="1:10" x14ac:dyDescent="0.25">
      <c r="A838" s="1">
        <v>899</v>
      </c>
      <c r="B838" s="2">
        <v>42677.529861111107</v>
      </c>
      <c r="C838" s="2" t="str">
        <f t="shared" si="15"/>
        <v>11</v>
      </c>
      <c r="D838" s="2">
        <v>42677.53402777778</v>
      </c>
      <c r="E838" s="2" t="str">
        <f t="shared" si="15"/>
        <v>11</v>
      </c>
      <c r="F838" t="s">
        <v>7</v>
      </c>
      <c r="G838" t="s">
        <v>43</v>
      </c>
      <c r="H838" t="s">
        <v>38</v>
      </c>
      <c r="I838">
        <v>2.4</v>
      </c>
    </row>
    <row r="839" spans="1:10" x14ac:dyDescent="0.25">
      <c r="A839" s="1">
        <v>900</v>
      </c>
      <c r="B839" s="2">
        <v>42677.570833333331</v>
      </c>
      <c r="C839" s="2" t="str">
        <f t="shared" si="15"/>
        <v>11</v>
      </c>
      <c r="D839" s="2">
        <v>42677.574305555558</v>
      </c>
      <c r="E839" s="2" t="str">
        <f t="shared" si="15"/>
        <v>11</v>
      </c>
      <c r="F839" t="s">
        <v>7</v>
      </c>
      <c r="G839" t="s">
        <v>38</v>
      </c>
      <c r="H839" t="s">
        <v>44</v>
      </c>
      <c r="I839">
        <v>1.4</v>
      </c>
    </row>
    <row r="840" spans="1:10" x14ac:dyDescent="0.25">
      <c r="A840" s="1">
        <v>901</v>
      </c>
      <c r="B840" s="2">
        <v>42677.592361111107</v>
      </c>
      <c r="C840" s="2" t="str">
        <f t="shared" si="15"/>
        <v>11</v>
      </c>
      <c r="D840" s="2">
        <v>42677.601388888892</v>
      </c>
      <c r="E840" s="2" t="str">
        <f t="shared" si="15"/>
        <v>11</v>
      </c>
      <c r="F840" t="s">
        <v>7</v>
      </c>
      <c r="G840" t="s">
        <v>44</v>
      </c>
      <c r="H840" t="s">
        <v>38</v>
      </c>
      <c r="I840">
        <v>1.8</v>
      </c>
    </row>
    <row r="841" spans="1:10" x14ac:dyDescent="0.25">
      <c r="A841" s="1">
        <v>902</v>
      </c>
      <c r="B841" s="2">
        <v>42677.785416666673</v>
      </c>
      <c r="C841" s="2" t="str">
        <f t="shared" si="15"/>
        <v>11</v>
      </c>
      <c r="D841" s="2">
        <v>42677.797222222223</v>
      </c>
      <c r="E841" s="2" t="str">
        <f t="shared" si="15"/>
        <v>11</v>
      </c>
      <c r="F841" t="s">
        <v>7</v>
      </c>
      <c r="G841" t="s">
        <v>15</v>
      </c>
      <c r="H841" t="s">
        <v>16</v>
      </c>
      <c r="I841">
        <v>3.1</v>
      </c>
      <c r="J841" t="s">
        <v>9</v>
      </c>
    </row>
    <row r="842" spans="1:10" x14ac:dyDescent="0.25">
      <c r="A842" s="1">
        <v>903</v>
      </c>
      <c r="B842" s="2">
        <v>42677.948611111111</v>
      </c>
      <c r="C842" s="2" t="str">
        <f t="shared" si="15"/>
        <v>11</v>
      </c>
      <c r="D842" s="2">
        <v>42677.956944444442</v>
      </c>
      <c r="E842" s="2" t="str">
        <f t="shared" si="15"/>
        <v>11</v>
      </c>
      <c r="F842" t="s">
        <v>7</v>
      </c>
      <c r="G842" t="s">
        <v>16</v>
      </c>
      <c r="H842" t="s">
        <v>15</v>
      </c>
      <c r="I842">
        <v>3.1</v>
      </c>
      <c r="J842" t="s">
        <v>13</v>
      </c>
    </row>
    <row r="843" spans="1:10" x14ac:dyDescent="0.25">
      <c r="A843" s="1">
        <v>904</v>
      </c>
      <c r="B843" s="2">
        <v>42678.418055555558</v>
      </c>
      <c r="C843" s="2" t="str">
        <f t="shared" si="15"/>
        <v>11</v>
      </c>
      <c r="D843" s="2">
        <v>42678.429166666669</v>
      </c>
      <c r="E843" s="2" t="str">
        <f t="shared" si="15"/>
        <v>11</v>
      </c>
      <c r="F843" t="s">
        <v>7</v>
      </c>
      <c r="G843" t="s">
        <v>15</v>
      </c>
      <c r="H843" t="s">
        <v>16</v>
      </c>
      <c r="I843">
        <v>7.9</v>
      </c>
      <c r="J843" t="s">
        <v>24</v>
      </c>
    </row>
    <row r="844" spans="1:10" x14ac:dyDescent="0.25">
      <c r="A844" s="1">
        <v>905</v>
      </c>
      <c r="B844" s="2">
        <v>42678.759722222218</v>
      </c>
      <c r="C844" s="2" t="str">
        <f t="shared" si="15"/>
        <v>11</v>
      </c>
      <c r="D844" s="2">
        <v>42678.76458333333</v>
      </c>
      <c r="E844" s="2" t="str">
        <f t="shared" si="15"/>
        <v>11</v>
      </c>
      <c r="F844" t="s">
        <v>7</v>
      </c>
      <c r="G844" t="s">
        <v>194</v>
      </c>
      <c r="H844" t="s">
        <v>203</v>
      </c>
      <c r="I844">
        <v>3.8</v>
      </c>
    </row>
    <row r="845" spans="1:10" x14ac:dyDescent="0.25">
      <c r="A845" s="1">
        <v>906</v>
      </c>
      <c r="B845" s="2">
        <v>42678.87777777778</v>
      </c>
      <c r="C845" s="2" t="str">
        <f t="shared" si="15"/>
        <v>11</v>
      </c>
      <c r="D845" s="2">
        <v>42678.888888888891</v>
      </c>
      <c r="E845" s="2" t="str">
        <f t="shared" si="15"/>
        <v>11</v>
      </c>
      <c r="F845" t="s">
        <v>7</v>
      </c>
      <c r="G845" t="s">
        <v>204</v>
      </c>
      <c r="H845" t="s">
        <v>205</v>
      </c>
      <c r="I845">
        <v>4.3</v>
      </c>
    </row>
    <row r="846" spans="1:10" x14ac:dyDescent="0.25">
      <c r="A846" s="1">
        <v>907</v>
      </c>
      <c r="B846" s="2">
        <v>42678.925000000003</v>
      </c>
      <c r="C846" s="2" t="str">
        <f t="shared" si="15"/>
        <v>11</v>
      </c>
      <c r="D846" s="2">
        <v>42678.934027777781</v>
      </c>
      <c r="E846" s="2" t="str">
        <f t="shared" si="15"/>
        <v>11</v>
      </c>
      <c r="F846" t="s">
        <v>7</v>
      </c>
      <c r="G846" t="s">
        <v>205</v>
      </c>
      <c r="H846" t="s">
        <v>204</v>
      </c>
      <c r="I846">
        <v>3.9</v>
      </c>
    </row>
    <row r="847" spans="1:10" x14ac:dyDescent="0.25">
      <c r="A847" s="1">
        <v>908</v>
      </c>
      <c r="B847" s="2">
        <v>42679.356944444437</v>
      </c>
      <c r="C847" s="2" t="str">
        <f t="shared" si="15"/>
        <v>11</v>
      </c>
      <c r="D847" s="2">
        <v>42679.363194444442</v>
      </c>
      <c r="E847" s="2" t="str">
        <f t="shared" si="15"/>
        <v>11</v>
      </c>
      <c r="F847" t="s">
        <v>7</v>
      </c>
      <c r="G847" t="s">
        <v>204</v>
      </c>
      <c r="H847" t="s">
        <v>206</v>
      </c>
      <c r="I847">
        <v>2.2000000000000002</v>
      </c>
    </row>
    <row r="848" spans="1:10" x14ac:dyDescent="0.25">
      <c r="A848" s="1">
        <v>909</v>
      </c>
      <c r="B848" s="2">
        <v>42679.728472222218</v>
      </c>
      <c r="C848" s="2" t="str">
        <f t="shared" si="15"/>
        <v>11</v>
      </c>
      <c r="D848" s="2">
        <v>42679.736111111109</v>
      </c>
      <c r="E848" s="2" t="str">
        <f t="shared" si="15"/>
        <v>11</v>
      </c>
      <c r="F848" t="s">
        <v>7</v>
      </c>
      <c r="G848" t="s">
        <v>206</v>
      </c>
      <c r="H848" t="s">
        <v>204</v>
      </c>
      <c r="I848">
        <v>2.8</v>
      </c>
    </row>
    <row r="849" spans="1:10" x14ac:dyDescent="0.25">
      <c r="A849" s="1">
        <v>910</v>
      </c>
      <c r="B849" s="2">
        <v>42679.805555555547</v>
      </c>
      <c r="C849" s="2" t="str">
        <f t="shared" si="15"/>
        <v>11</v>
      </c>
      <c r="D849" s="2">
        <v>42679.811111111107</v>
      </c>
      <c r="E849" s="2" t="str">
        <f t="shared" si="15"/>
        <v>11</v>
      </c>
      <c r="F849" t="s">
        <v>7</v>
      </c>
      <c r="G849" t="s">
        <v>204</v>
      </c>
      <c r="H849" t="s">
        <v>204</v>
      </c>
      <c r="I849">
        <v>2.2000000000000002</v>
      </c>
    </row>
    <row r="850" spans="1:10" x14ac:dyDescent="0.25">
      <c r="A850" s="1">
        <v>911</v>
      </c>
      <c r="B850" s="2">
        <v>42680.451388888891</v>
      </c>
      <c r="C850" s="2" t="str">
        <f t="shared" si="15"/>
        <v>11</v>
      </c>
      <c r="D850" s="2">
        <v>42680.461111111108</v>
      </c>
      <c r="E850" s="2" t="str">
        <f t="shared" si="15"/>
        <v>11</v>
      </c>
      <c r="F850" t="s">
        <v>7</v>
      </c>
      <c r="G850" t="s">
        <v>204</v>
      </c>
      <c r="H850" t="s">
        <v>206</v>
      </c>
      <c r="I850">
        <v>2.4</v>
      </c>
    </row>
    <row r="851" spans="1:10" x14ac:dyDescent="0.25">
      <c r="A851" s="1">
        <v>912</v>
      </c>
      <c r="B851" s="2">
        <v>42680.670138888891</v>
      </c>
      <c r="C851" s="2" t="str">
        <f t="shared" si="15"/>
        <v>11</v>
      </c>
      <c r="D851" s="2">
        <v>42680.681944444441</v>
      </c>
      <c r="E851" s="2" t="str">
        <f t="shared" si="15"/>
        <v>11</v>
      </c>
      <c r="F851" t="s">
        <v>7</v>
      </c>
      <c r="G851" t="s">
        <v>206</v>
      </c>
      <c r="H851" t="s">
        <v>204</v>
      </c>
      <c r="I851">
        <v>2.8</v>
      </c>
      <c r="J851" t="s">
        <v>11</v>
      </c>
    </row>
    <row r="852" spans="1:10" x14ac:dyDescent="0.25">
      <c r="A852" s="1">
        <v>913</v>
      </c>
      <c r="B852" s="2">
        <v>42680.685416666667</v>
      </c>
      <c r="C852" s="2" t="str">
        <f t="shared" si="15"/>
        <v>11</v>
      </c>
      <c r="D852" s="2">
        <v>42680.727777777778</v>
      </c>
      <c r="E852" s="2" t="str">
        <f t="shared" si="15"/>
        <v>11</v>
      </c>
      <c r="F852" t="s">
        <v>7</v>
      </c>
      <c r="G852" t="s">
        <v>203</v>
      </c>
      <c r="H852" t="s">
        <v>147</v>
      </c>
      <c r="I852">
        <v>43.9</v>
      </c>
      <c r="J852" t="s">
        <v>13</v>
      </c>
    </row>
    <row r="853" spans="1:10" x14ac:dyDescent="0.25">
      <c r="A853" s="1">
        <v>914</v>
      </c>
      <c r="B853" s="2">
        <v>42680.794444444437</v>
      </c>
      <c r="C853" s="2" t="str">
        <f t="shared" si="15"/>
        <v>11</v>
      </c>
      <c r="D853" s="2">
        <v>42680.800000000003</v>
      </c>
      <c r="E853" s="2" t="str">
        <f t="shared" si="15"/>
        <v>11</v>
      </c>
      <c r="F853" t="s">
        <v>7</v>
      </c>
      <c r="G853" t="s">
        <v>31</v>
      </c>
      <c r="H853" t="s">
        <v>191</v>
      </c>
      <c r="I853">
        <v>1.8</v>
      </c>
    </row>
    <row r="854" spans="1:10" x14ac:dyDescent="0.25">
      <c r="A854" s="1">
        <v>915</v>
      </c>
      <c r="B854" s="2">
        <v>42680.837500000001</v>
      </c>
      <c r="C854" s="2" t="str">
        <f t="shared" si="15"/>
        <v>11</v>
      </c>
      <c r="D854" s="2">
        <v>42680.847916666673</v>
      </c>
      <c r="E854" s="2" t="str">
        <f t="shared" si="15"/>
        <v>11</v>
      </c>
      <c r="F854" t="s">
        <v>7</v>
      </c>
      <c r="G854" t="s">
        <v>191</v>
      </c>
      <c r="H854" t="s">
        <v>207</v>
      </c>
      <c r="I854">
        <v>3.3</v>
      </c>
    </row>
    <row r="855" spans="1:10" x14ac:dyDescent="0.25">
      <c r="A855" s="1">
        <v>916</v>
      </c>
      <c r="B855" s="2">
        <v>42681.519444444442</v>
      </c>
      <c r="C855" s="2" t="str">
        <f t="shared" si="15"/>
        <v>11</v>
      </c>
      <c r="D855" s="2">
        <v>42681.539583333331</v>
      </c>
      <c r="E855" s="2" t="str">
        <f t="shared" si="15"/>
        <v>11</v>
      </c>
      <c r="F855" t="s">
        <v>7</v>
      </c>
      <c r="G855" t="s">
        <v>147</v>
      </c>
      <c r="H855" t="s">
        <v>123</v>
      </c>
      <c r="I855">
        <v>11.8</v>
      </c>
      <c r="J855" t="s">
        <v>53</v>
      </c>
    </row>
    <row r="856" spans="1:10" x14ac:dyDescent="0.25">
      <c r="A856" s="1">
        <v>917</v>
      </c>
      <c r="B856" s="2">
        <v>42681.803472222222</v>
      </c>
      <c r="C856" s="2" t="str">
        <f t="shared" si="15"/>
        <v>11</v>
      </c>
      <c r="D856" s="2">
        <v>42681.831250000003</v>
      </c>
      <c r="E856" s="2" t="str">
        <f t="shared" si="15"/>
        <v>11</v>
      </c>
      <c r="F856" t="s">
        <v>7</v>
      </c>
      <c r="G856" t="s">
        <v>123</v>
      </c>
      <c r="H856" t="s">
        <v>147</v>
      </c>
      <c r="I856">
        <v>13.2</v>
      </c>
      <c r="J856" t="s">
        <v>53</v>
      </c>
    </row>
    <row r="857" spans="1:10" x14ac:dyDescent="0.25">
      <c r="A857" s="1">
        <v>918</v>
      </c>
      <c r="B857" s="2">
        <v>42682.436805555553</v>
      </c>
      <c r="C857" s="2" t="str">
        <f t="shared" si="15"/>
        <v>11</v>
      </c>
      <c r="D857" s="2">
        <v>42682.456250000003</v>
      </c>
      <c r="E857" s="2" t="str">
        <f t="shared" si="15"/>
        <v>11</v>
      </c>
      <c r="F857" t="s">
        <v>7</v>
      </c>
      <c r="G857" t="s">
        <v>147</v>
      </c>
      <c r="H857" t="s">
        <v>123</v>
      </c>
      <c r="I857">
        <v>12.2</v>
      </c>
      <c r="J857" t="s">
        <v>53</v>
      </c>
    </row>
    <row r="858" spans="1:10" x14ac:dyDescent="0.25">
      <c r="A858" s="1">
        <v>919</v>
      </c>
      <c r="B858" s="2">
        <v>42682.511111111111</v>
      </c>
      <c r="C858" s="2" t="str">
        <f t="shared" si="15"/>
        <v>11</v>
      </c>
      <c r="D858" s="2">
        <v>42682.53402777778</v>
      </c>
      <c r="E858" s="2" t="str">
        <f t="shared" si="15"/>
        <v>11</v>
      </c>
      <c r="F858" t="s">
        <v>7</v>
      </c>
      <c r="G858" t="s">
        <v>123</v>
      </c>
      <c r="H858" t="s">
        <v>147</v>
      </c>
      <c r="I858">
        <v>11.3</v>
      </c>
      <c r="J858" t="s">
        <v>11</v>
      </c>
    </row>
    <row r="859" spans="1:10" x14ac:dyDescent="0.25">
      <c r="A859" s="1">
        <v>920</v>
      </c>
      <c r="B859" s="2">
        <v>42682.570138888892</v>
      </c>
      <c r="C859" s="2" t="str">
        <f t="shared" si="15"/>
        <v>11</v>
      </c>
      <c r="D859" s="2">
        <v>42682.584027777782</v>
      </c>
      <c r="E859" s="2" t="str">
        <f t="shared" si="15"/>
        <v>11</v>
      </c>
      <c r="F859" t="s">
        <v>7</v>
      </c>
      <c r="G859" t="s">
        <v>147</v>
      </c>
      <c r="H859" t="s">
        <v>146</v>
      </c>
      <c r="I859">
        <v>3.6</v>
      </c>
    </row>
    <row r="860" spans="1:10" x14ac:dyDescent="0.25">
      <c r="A860" s="1">
        <v>921</v>
      </c>
      <c r="B860" s="2">
        <v>42682.681250000001</v>
      </c>
      <c r="C860" s="2" t="str">
        <f t="shared" si="15"/>
        <v>11</v>
      </c>
      <c r="D860" s="2">
        <v>42682.69027777778</v>
      </c>
      <c r="E860" s="2" t="str">
        <f t="shared" si="15"/>
        <v>11</v>
      </c>
      <c r="F860" t="s">
        <v>7</v>
      </c>
      <c r="G860" t="s">
        <v>146</v>
      </c>
      <c r="H860" t="s">
        <v>147</v>
      </c>
      <c r="I860">
        <v>3</v>
      </c>
    </row>
    <row r="861" spans="1:10" x14ac:dyDescent="0.25">
      <c r="A861" s="1">
        <v>922</v>
      </c>
      <c r="B861" s="2">
        <v>42683.547222222223</v>
      </c>
      <c r="C861" s="2" t="str">
        <f t="shared" si="15"/>
        <v>11</v>
      </c>
      <c r="D861" s="2">
        <v>42683.570138888892</v>
      </c>
      <c r="E861" s="2" t="str">
        <f t="shared" si="15"/>
        <v>11</v>
      </c>
      <c r="F861" t="s">
        <v>7</v>
      </c>
      <c r="G861" t="s">
        <v>147</v>
      </c>
      <c r="H861" t="s">
        <v>123</v>
      </c>
      <c r="I861">
        <v>11.4</v>
      </c>
    </row>
    <row r="862" spans="1:10" x14ac:dyDescent="0.25">
      <c r="A862" s="1">
        <v>923</v>
      </c>
      <c r="B862" s="2">
        <v>42683.665277777778</v>
      </c>
      <c r="C862" s="2" t="str">
        <f t="shared" si="15"/>
        <v>11</v>
      </c>
      <c r="D862" s="2">
        <v>42683.669444444437</v>
      </c>
      <c r="E862" s="2" t="str">
        <f t="shared" si="15"/>
        <v>11</v>
      </c>
      <c r="F862" t="s">
        <v>7</v>
      </c>
      <c r="G862" t="s">
        <v>208</v>
      </c>
      <c r="H862" t="s">
        <v>31</v>
      </c>
      <c r="I862">
        <v>0.9</v>
      </c>
    </row>
    <row r="863" spans="1:10" x14ac:dyDescent="0.25">
      <c r="A863" s="1">
        <v>924</v>
      </c>
      <c r="B863" s="2">
        <v>42683.729861111111</v>
      </c>
      <c r="C863" s="2" t="str">
        <f t="shared" si="15"/>
        <v>11</v>
      </c>
      <c r="D863" s="2">
        <v>42683.752083333333</v>
      </c>
      <c r="E863" s="2" t="str">
        <f t="shared" si="15"/>
        <v>11</v>
      </c>
      <c r="F863" t="s">
        <v>7</v>
      </c>
      <c r="G863" t="s">
        <v>31</v>
      </c>
      <c r="H863" t="s">
        <v>209</v>
      </c>
      <c r="I863">
        <v>6.2</v>
      </c>
    </row>
    <row r="864" spans="1:10" x14ac:dyDescent="0.25">
      <c r="A864" s="1">
        <v>925</v>
      </c>
      <c r="B864" s="2">
        <v>42683.756249999999</v>
      </c>
      <c r="C864" s="2" t="str">
        <f t="shared" si="15"/>
        <v>11</v>
      </c>
      <c r="D864" s="2">
        <v>42683.759722222218</v>
      </c>
      <c r="E864" s="2" t="str">
        <f t="shared" si="15"/>
        <v>11</v>
      </c>
      <c r="F864" t="s">
        <v>7</v>
      </c>
      <c r="G864" t="s">
        <v>209</v>
      </c>
      <c r="H864" t="s">
        <v>210</v>
      </c>
      <c r="I864">
        <v>0.7</v>
      </c>
    </row>
    <row r="865" spans="1:10" x14ac:dyDescent="0.25">
      <c r="A865" s="1">
        <v>926</v>
      </c>
      <c r="B865" s="2">
        <v>42683.76458333333</v>
      </c>
      <c r="C865" s="2" t="str">
        <f t="shared" si="15"/>
        <v>11</v>
      </c>
      <c r="D865" s="2">
        <v>42683.774305555547</v>
      </c>
      <c r="E865" s="2" t="str">
        <f t="shared" si="15"/>
        <v>11</v>
      </c>
      <c r="F865" t="s">
        <v>7</v>
      </c>
      <c r="G865" t="s">
        <v>210</v>
      </c>
      <c r="H865" t="s">
        <v>211</v>
      </c>
      <c r="I865">
        <v>5.5</v>
      </c>
      <c r="J865" t="s">
        <v>11</v>
      </c>
    </row>
    <row r="866" spans="1:10" x14ac:dyDescent="0.25">
      <c r="A866" s="1">
        <v>927</v>
      </c>
      <c r="B866" s="2">
        <v>42683.777777777781</v>
      </c>
      <c r="C866" s="2" t="str">
        <f t="shared" si="15"/>
        <v>11</v>
      </c>
      <c r="D866" s="2">
        <v>42683.803472222222</v>
      </c>
      <c r="E866" s="2" t="str">
        <f t="shared" si="15"/>
        <v>11</v>
      </c>
      <c r="F866" t="s">
        <v>7</v>
      </c>
      <c r="G866" t="s">
        <v>123</v>
      </c>
      <c r="H866" t="s">
        <v>145</v>
      </c>
      <c r="I866">
        <v>12.7</v>
      </c>
      <c r="J866" t="s">
        <v>13</v>
      </c>
    </row>
    <row r="867" spans="1:10" x14ac:dyDescent="0.25">
      <c r="A867" s="1">
        <v>928</v>
      </c>
      <c r="B867" s="2">
        <v>42683.869444444441</v>
      </c>
      <c r="C867" s="2" t="str">
        <f t="shared" si="15"/>
        <v>11</v>
      </c>
      <c r="D867" s="2">
        <v>42683.876388888893</v>
      </c>
      <c r="E867" s="2" t="str">
        <f t="shared" si="15"/>
        <v>11</v>
      </c>
      <c r="F867" t="s">
        <v>7</v>
      </c>
      <c r="G867" t="s">
        <v>145</v>
      </c>
      <c r="H867" t="s">
        <v>147</v>
      </c>
      <c r="I867">
        <v>2.6</v>
      </c>
    </row>
    <row r="868" spans="1:10" x14ac:dyDescent="0.25">
      <c r="A868" s="1">
        <v>929</v>
      </c>
      <c r="B868" s="2">
        <v>42683.913888888892</v>
      </c>
      <c r="C868" s="2" t="str">
        <f t="shared" si="15"/>
        <v>11</v>
      </c>
      <c r="D868" s="2">
        <v>42683.918055555558</v>
      </c>
      <c r="E868" s="2" t="str">
        <f t="shared" si="15"/>
        <v>11</v>
      </c>
      <c r="F868" t="s">
        <v>7</v>
      </c>
      <c r="G868" t="s">
        <v>207</v>
      </c>
      <c r="H868" t="s">
        <v>207</v>
      </c>
      <c r="I868">
        <v>1.1000000000000001</v>
      </c>
    </row>
    <row r="869" spans="1:10" x14ac:dyDescent="0.25">
      <c r="A869" s="1">
        <v>930</v>
      </c>
      <c r="B869" s="2">
        <v>42684.406944444447</v>
      </c>
      <c r="C869" s="2" t="str">
        <f t="shared" si="15"/>
        <v>11</v>
      </c>
      <c r="D869" s="2">
        <v>42684.427083333343</v>
      </c>
      <c r="E869" s="2" t="str">
        <f t="shared" si="15"/>
        <v>11</v>
      </c>
      <c r="F869" t="s">
        <v>7</v>
      </c>
      <c r="G869" t="s">
        <v>147</v>
      </c>
      <c r="H869" t="s">
        <v>123</v>
      </c>
      <c r="I869">
        <v>12.6</v>
      </c>
      <c r="J869" t="s">
        <v>24</v>
      </c>
    </row>
    <row r="870" spans="1:10" x14ac:dyDescent="0.25">
      <c r="A870" s="1">
        <v>931</v>
      </c>
      <c r="B870" s="2">
        <v>42684.430555555547</v>
      </c>
      <c r="C870" s="2" t="str">
        <f t="shared" si="15"/>
        <v>11</v>
      </c>
      <c r="D870" s="2">
        <v>42684.438194444447</v>
      </c>
      <c r="E870" s="2" t="str">
        <f t="shared" si="15"/>
        <v>11</v>
      </c>
      <c r="F870" t="s">
        <v>7</v>
      </c>
      <c r="G870" t="s">
        <v>212</v>
      </c>
      <c r="H870" t="s">
        <v>189</v>
      </c>
      <c r="I870">
        <v>1.2</v>
      </c>
    </row>
    <row r="871" spans="1:10" x14ac:dyDescent="0.25">
      <c r="A871" s="1">
        <v>932</v>
      </c>
      <c r="B871" s="2">
        <v>42684.622916666667</v>
      </c>
      <c r="C871" s="2" t="str">
        <f t="shared" si="15"/>
        <v>11</v>
      </c>
      <c r="D871" s="2">
        <v>42684.629861111112</v>
      </c>
      <c r="E871" s="2" t="str">
        <f t="shared" si="15"/>
        <v>11</v>
      </c>
      <c r="F871" t="s">
        <v>7</v>
      </c>
      <c r="G871" t="s">
        <v>189</v>
      </c>
      <c r="H871" t="s">
        <v>212</v>
      </c>
      <c r="I871">
        <v>1.1000000000000001</v>
      </c>
    </row>
    <row r="872" spans="1:10" x14ac:dyDescent="0.25">
      <c r="A872" s="1">
        <v>933</v>
      </c>
      <c r="B872" s="2">
        <v>42684.636805555558</v>
      </c>
      <c r="C872" s="2" t="str">
        <f t="shared" si="15"/>
        <v>11</v>
      </c>
      <c r="D872" s="2">
        <v>42684.640277777777</v>
      </c>
      <c r="E872" s="2" t="str">
        <f t="shared" si="15"/>
        <v>11</v>
      </c>
      <c r="F872" t="s">
        <v>7</v>
      </c>
      <c r="G872" t="s">
        <v>123</v>
      </c>
      <c r="H872" t="s">
        <v>145</v>
      </c>
      <c r="I872">
        <v>9.9</v>
      </c>
      <c r="J872" t="s">
        <v>24</v>
      </c>
    </row>
    <row r="873" spans="1:10" x14ac:dyDescent="0.25">
      <c r="A873" s="1">
        <v>934</v>
      </c>
      <c r="B873" s="2">
        <v>42684.645833333343</v>
      </c>
      <c r="C873" s="2" t="str">
        <f t="shared" si="15"/>
        <v>11</v>
      </c>
      <c r="D873" s="2">
        <v>42684.661805555559</v>
      </c>
      <c r="E873" s="2" t="str">
        <f t="shared" si="15"/>
        <v>11</v>
      </c>
      <c r="F873" t="s">
        <v>7</v>
      </c>
      <c r="G873" t="s">
        <v>145</v>
      </c>
      <c r="H873" t="s">
        <v>147</v>
      </c>
      <c r="I873">
        <v>6</v>
      </c>
      <c r="J873" t="s">
        <v>11</v>
      </c>
    </row>
    <row r="874" spans="1:10" x14ac:dyDescent="0.25">
      <c r="A874" s="1">
        <v>935</v>
      </c>
      <c r="B874" s="2">
        <v>42684.804166666669</v>
      </c>
      <c r="C874" s="2" t="str">
        <f t="shared" si="15"/>
        <v>11</v>
      </c>
      <c r="D874" s="2">
        <v>42684.806250000001</v>
      </c>
      <c r="E874" s="2" t="str">
        <f t="shared" si="15"/>
        <v>11</v>
      </c>
      <c r="F874" t="s">
        <v>7</v>
      </c>
      <c r="G874" t="s">
        <v>191</v>
      </c>
      <c r="H874" t="s">
        <v>207</v>
      </c>
      <c r="I874">
        <v>0.8</v>
      </c>
    </row>
    <row r="875" spans="1:10" x14ac:dyDescent="0.25">
      <c r="A875" s="1">
        <v>936</v>
      </c>
      <c r="B875" s="2">
        <v>42685.399305555547</v>
      </c>
      <c r="C875" s="2" t="str">
        <f t="shared" si="15"/>
        <v>11</v>
      </c>
      <c r="D875" s="2">
        <v>42685.432638888888</v>
      </c>
      <c r="E875" s="2" t="str">
        <f t="shared" si="15"/>
        <v>11</v>
      </c>
      <c r="F875" t="s">
        <v>7</v>
      </c>
      <c r="G875" t="s">
        <v>147</v>
      </c>
      <c r="H875" t="s">
        <v>127</v>
      </c>
      <c r="I875">
        <v>45.9</v>
      </c>
      <c r="J875" t="s">
        <v>13</v>
      </c>
    </row>
    <row r="876" spans="1:10" x14ac:dyDescent="0.25">
      <c r="A876" s="1">
        <v>937</v>
      </c>
      <c r="B876" s="2">
        <v>42685.540277777778</v>
      </c>
      <c r="C876" s="2" t="str">
        <f t="shared" si="15"/>
        <v>11</v>
      </c>
      <c r="D876" s="2">
        <v>42685.550694444442</v>
      </c>
      <c r="E876" s="2" t="str">
        <f t="shared" si="15"/>
        <v>11</v>
      </c>
      <c r="F876" t="s">
        <v>7</v>
      </c>
      <c r="G876" t="s">
        <v>127</v>
      </c>
      <c r="H876" t="s">
        <v>124</v>
      </c>
      <c r="I876">
        <v>4</v>
      </c>
    </row>
    <row r="877" spans="1:10" x14ac:dyDescent="0.25">
      <c r="A877" s="1">
        <v>938</v>
      </c>
      <c r="B877" s="2">
        <v>42685.597222222219</v>
      </c>
      <c r="C877" s="2" t="str">
        <f t="shared" si="15"/>
        <v>11</v>
      </c>
      <c r="D877" s="2">
        <v>42685.605555555558</v>
      </c>
      <c r="E877" s="2" t="str">
        <f t="shared" si="15"/>
        <v>11</v>
      </c>
      <c r="F877" t="s">
        <v>7</v>
      </c>
      <c r="G877" t="s">
        <v>124</v>
      </c>
      <c r="H877" t="s">
        <v>127</v>
      </c>
      <c r="I877">
        <v>2.5</v>
      </c>
    </row>
    <row r="878" spans="1:10" x14ac:dyDescent="0.25">
      <c r="A878" s="1">
        <v>939</v>
      </c>
      <c r="B878" s="2">
        <v>42685.61041666667</v>
      </c>
      <c r="C878" s="2" t="str">
        <f t="shared" si="15"/>
        <v>11</v>
      </c>
      <c r="D878" s="2">
        <v>42685.656944444447</v>
      </c>
      <c r="E878" s="2" t="str">
        <f t="shared" si="15"/>
        <v>11</v>
      </c>
      <c r="F878" t="s">
        <v>7</v>
      </c>
      <c r="G878" t="s">
        <v>127</v>
      </c>
      <c r="H878" t="s">
        <v>147</v>
      </c>
      <c r="I878">
        <v>36.6</v>
      </c>
      <c r="J878" t="s">
        <v>13</v>
      </c>
    </row>
    <row r="879" spans="1:10" x14ac:dyDescent="0.25">
      <c r="A879" s="1">
        <v>940</v>
      </c>
      <c r="B879" s="2">
        <v>42685.770833333343</v>
      </c>
      <c r="C879" s="2" t="str">
        <f t="shared" si="15"/>
        <v>11</v>
      </c>
      <c r="D879" s="2">
        <v>42685.779861111107</v>
      </c>
      <c r="E879" s="2" t="str">
        <f t="shared" si="15"/>
        <v>11</v>
      </c>
      <c r="F879" t="s">
        <v>7</v>
      </c>
      <c r="G879" t="s">
        <v>207</v>
      </c>
      <c r="H879" t="s">
        <v>213</v>
      </c>
      <c r="I879">
        <v>2.9</v>
      </c>
    </row>
    <row r="880" spans="1:10" x14ac:dyDescent="0.25">
      <c r="A880" s="1">
        <v>941</v>
      </c>
      <c r="B880" s="2">
        <v>42685.880555555559</v>
      </c>
      <c r="C880" s="2" t="str">
        <f t="shared" si="15"/>
        <v>11</v>
      </c>
      <c r="D880" s="2">
        <v>42685.887499999997</v>
      </c>
      <c r="E880" s="2" t="str">
        <f t="shared" si="15"/>
        <v>11</v>
      </c>
      <c r="F880" t="s">
        <v>7</v>
      </c>
      <c r="G880" t="s">
        <v>213</v>
      </c>
      <c r="H880" t="s">
        <v>207</v>
      </c>
      <c r="I880">
        <v>2.6</v>
      </c>
    </row>
    <row r="881" spans="1:10" x14ac:dyDescent="0.25">
      <c r="A881" s="1">
        <v>942</v>
      </c>
      <c r="B881" s="2">
        <v>42686.438888888893</v>
      </c>
      <c r="C881" s="2" t="str">
        <f t="shared" si="15"/>
        <v>11</v>
      </c>
      <c r="D881" s="2">
        <v>42686.452777777777</v>
      </c>
      <c r="E881" s="2" t="str">
        <f t="shared" si="15"/>
        <v>11</v>
      </c>
      <c r="F881" t="s">
        <v>7</v>
      </c>
      <c r="G881" t="s">
        <v>207</v>
      </c>
      <c r="H881" t="s">
        <v>214</v>
      </c>
      <c r="I881">
        <v>2.2999999999999998</v>
      </c>
    </row>
    <row r="882" spans="1:10" x14ac:dyDescent="0.25">
      <c r="A882" s="1">
        <v>943</v>
      </c>
      <c r="B882" s="2">
        <v>42686.454861111109</v>
      </c>
      <c r="C882" s="2" t="str">
        <f t="shared" si="15"/>
        <v>11</v>
      </c>
      <c r="D882" s="2">
        <v>42686.475694444453</v>
      </c>
      <c r="E882" s="2" t="str">
        <f t="shared" si="15"/>
        <v>11</v>
      </c>
      <c r="F882" t="s">
        <v>7</v>
      </c>
      <c r="G882" t="s">
        <v>214</v>
      </c>
      <c r="H882" t="s">
        <v>31</v>
      </c>
      <c r="I882">
        <v>6.4</v>
      </c>
    </row>
    <row r="883" spans="1:10" x14ac:dyDescent="0.25">
      <c r="A883" s="1">
        <v>944</v>
      </c>
      <c r="B883" s="2">
        <v>42686.546527777777</v>
      </c>
      <c r="C883" s="2" t="str">
        <f t="shared" si="15"/>
        <v>11</v>
      </c>
      <c r="D883" s="2">
        <v>42686.552083333343</v>
      </c>
      <c r="E883" s="2" t="str">
        <f t="shared" si="15"/>
        <v>11</v>
      </c>
      <c r="F883" t="s">
        <v>7</v>
      </c>
      <c r="G883" t="s">
        <v>31</v>
      </c>
      <c r="H883" t="s">
        <v>207</v>
      </c>
      <c r="I883">
        <v>1.4</v>
      </c>
    </row>
    <row r="884" spans="1:10" x14ac:dyDescent="0.25">
      <c r="A884" s="1">
        <v>945</v>
      </c>
      <c r="B884" s="2">
        <v>42686.573611111111</v>
      </c>
      <c r="C884" s="2" t="str">
        <f t="shared" si="15"/>
        <v>11</v>
      </c>
      <c r="D884" s="2">
        <v>42686.576388888891</v>
      </c>
      <c r="E884" s="2" t="str">
        <f t="shared" si="15"/>
        <v>11</v>
      </c>
      <c r="F884" t="s">
        <v>7</v>
      </c>
      <c r="G884" t="s">
        <v>207</v>
      </c>
      <c r="H884" t="s">
        <v>191</v>
      </c>
      <c r="I884">
        <v>0.6</v>
      </c>
    </row>
    <row r="885" spans="1:10" x14ac:dyDescent="0.25">
      <c r="A885" s="1">
        <v>946</v>
      </c>
      <c r="B885" s="2">
        <v>42686.598611111112</v>
      </c>
      <c r="C885" s="2" t="str">
        <f t="shared" si="15"/>
        <v>11</v>
      </c>
      <c r="D885" s="2">
        <v>42686.620138888888</v>
      </c>
      <c r="E885" s="2" t="str">
        <f t="shared" si="15"/>
        <v>11</v>
      </c>
      <c r="F885" t="s">
        <v>7</v>
      </c>
      <c r="G885" t="s">
        <v>191</v>
      </c>
      <c r="H885" t="s">
        <v>214</v>
      </c>
      <c r="I885">
        <v>5.9</v>
      </c>
      <c r="J885" t="s">
        <v>11</v>
      </c>
    </row>
    <row r="886" spans="1:10" x14ac:dyDescent="0.25">
      <c r="A886" s="1">
        <v>947</v>
      </c>
      <c r="B886" s="2">
        <v>42686.634722222218</v>
      </c>
      <c r="C886" s="2" t="str">
        <f t="shared" si="15"/>
        <v>11</v>
      </c>
      <c r="D886" s="2">
        <v>42686.63958333333</v>
      </c>
      <c r="E886" s="2" t="str">
        <f t="shared" si="15"/>
        <v>11</v>
      </c>
      <c r="F886" t="s">
        <v>7</v>
      </c>
      <c r="G886" t="s">
        <v>214</v>
      </c>
      <c r="H886" t="s">
        <v>215</v>
      </c>
      <c r="I886">
        <v>0.8</v>
      </c>
    </row>
    <row r="887" spans="1:10" x14ac:dyDescent="0.25">
      <c r="A887" s="1">
        <v>948</v>
      </c>
      <c r="B887" s="2">
        <v>42686.642361111109</v>
      </c>
      <c r="C887" s="2" t="str">
        <f t="shared" si="15"/>
        <v>11</v>
      </c>
      <c r="D887" s="2">
        <v>42686.65</v>
      </c>
      <c r="E887" s="2" t="str">
        <f t="shared" si="15"/>
        <v>11</v>
      </c>
      <c r="F887" t="s">
        <v>7</v>
      </c>
      <c r="G887" t="s">
        <v>147</v>
      </c>
      <c r="H887" t="s">
        <v>146</v>
      </c>
      <c r="I887">
        <v>1.3</v>
      </c>
    </row>
    <row r="888" spans="1:10" x14ac:dyDescent="0.25">
      <c r="A888" s="1">
        <v>949</v>
      </c>
      <c r="B888" s="2">
        <v>42686.652777777781</v>
      </c>
      <c r="C888" s="2" t="str">
        <f t="shared" si="15"/>
        <v>11</v>
      </c>
      <c r="D888" s="2">
        <v>42686.665972222218</v>
      </c>
      <c r="E888" s="2" t="str">
        <f t="shared" si="15"/>
        <v>11</v>
      </c>
      <c r="F888" t="s">
        <v>7</v>
      </c>
      <c r="G888" t="s">
        <v>146</v>
      </c>
      <c r="H888" t="s">
        <v>147</v>
      </c>
      <c r="I888">
        <v>3.7</v>
      </c>
      <c r="J888" t="s">
        <v>10</v>
      </c>
    </row>
    <row r="889" spans="1:10" x14ac:dyDescent="0.25">
      <c r="A889" s="1">
        <v>950</v>
      </c>
      <c r="B889" s="2">
        <v>42687.370833333327</v>
      </c>
      <c r="C889" s="2" t="str">
        <f t="shared" si="15"/>
        <v>11</v>
      </c>
      <c r="D889" s="2">
        <v>42687.376388888893</v>
      </c>
      <c r="E889" s="2" t="str">
        <f t="shared" si="15"/>
        <v>11</v>
      </c>
      <c r="F889" t="s">
        <v>7</v>
      </c>
      <c r="G889" t="s">
        <v>207</v>
      </c>
      <c r="H889" t="s">
        <v>207</v>
      </c>
      <c r="I889">
        <v>2.2999999999999998</v>
      </c>
    </row>
    <row r="890" spans="1:10" x14ac:dyDescent="0.25">
      <c r="A890" s="1">
        <v>951</v>
      </c>
      <c r="B890" s="2">
        <v>42687.393750000003</v>
      </c>
      <c r="C890" s="2" t="str">
        <f t="shared" si="15"/>
        <v>11</v>
      </c>
      <c r="D890" s="2">
        <v>42687.411805555559</v>
      </c>
      <c r="E890" s="2" t="str">
        <f t="shared" si="15"/>
        <v>11</v>
      </c>
      <c r="F890" t="s">
        <v>7</v>
      </c>
      <c r="G890" t="s">
        <v>207</v>
      </c>
      <c r="H890" t="s">
        <v>207</v>
      </c>
      <c r="I890">
        <v>2.6</v>
      </c>
    </row>
    <row r="891" spans="1:10" x14ac:dyDescent="0.25">
      <c r="A891" s="1">
        <v>952</v>
      </c>
      <c r="B891" s="2">
        <v>42687.438194444447</v>
      </c>
      <c r="C891" s="2" t="str">
        <f t="shared" si="15"/>
        <v>11</v>
      </c>
      <c r="D891" s="2">
        <v>42687.442361111112</v>
      </c>
      <c r="E891" s="2" t="str">
        <f t="shared" si="15"/>
        <v>11</v>
      </c>
      <c r="F891" t="s">
        <v>7</v>
      </c>
      <c r="G891" t="s">
        <v>207</v>
      </c>
      <c r="H891" t="s">
        <v>193</v>
      </c>
      <c r="I891">
        <v>1.9</v>
      </c>
    </row>
    <row r="892" spans="1:10" x14ac:dyDescent="0.25">
      <c r="A892" s="1">
        <v>953</v>
      </c>
      <c r="B892" s="2">
        <v>42687.461111111108</v>
      </c>
      <c r="C892" s="2" t="str">
        <f t="shared" si="15"/>
        <v>11</v>
      </c>
      <c r="D892" s="2">
        <v>42687.469444444447</v>
      </c>
      <c r="E892" s="2" t="str">
        <f t="shared" si="15"/>
        <v>11</v>
      </c>
      <c r="F892" t="s">
        <v>7</v>
      </c>
      <c r="G892" t="s">
        <v>193</v>
      </c>
      <c r="H892" t="s">
        <v>191</v>
      </c>
      <c r="I892">
        <v>2.1</v>
      </c>
    </row>
    <row r="893" spans="1:10" x14ac:dyDescent="0.25">
      <c r="A893" s="1">
        <v>954</v>
      </c>
      <c r="B893" s="2">
        <v>42687.515277777777</v>
      </c>
      <c r="C893" s="2" t="str">
        <f t="shared" si="15"/>
        <v>11</v>
      </c>
      <c r="D893" s="2">
        <v>42687.535416666673</v>
      </c>
      <c r="E893" s="2" t="str">
        <f t="shared" si="15"/>
        <v>11</v>
      </c>
      <c r="F893" t="s">
        <v>7</v>
      </c>
      <c r="G893" t="s">
        <v>191</v>
      </c>
      <c r="H893" t="s">
        <v>193</v>
      </c>
      <c r="I893">
        <v>4</v>
      </c>
      <c r="J893" t="s">
        <v>11</v>
      </c>
    </row>
    <row r="894" spans="1:10" x14ac:dyDescent="0.25">
      <c r="A894" s="1">
        <v>955</v>
      </c>
      <c r="B894" s="2">
        <v>42687.545138888891</v>
      </c>
      <c r="C894" s="2" t="str">
        <f t="shared" si="15"/>
        <v>11</v>
      </c>
      <c r="D894" s="2">
        <v>42687.549305555563</v>
      </c>
      <c r="E894" s="2" t="str">
        <f t="shared" si="15"/>
        <v>11</v>
      </c>
      <c r="F894" t="s">
        <v>7</v>
      </c>
      <c r="G894" t="s">
        <v>193</v>
      </c>
      <c r="H894" t="s">
        <v>216</v>
      </c>
      <c r="I894">
        <v>0.9</v>
      </c>
    </row>
    <row r="895" spans="1:10" x14ac:dyDescent="0.25">
      <c r="A895" s="1">
        <v>956</v>
      </c>
      <c r="B895" s="2">
        <v>42687.551388888889</v>
      </c>
      <c r="C895" s="2" t="str">
        <f t="shared" si="15"/>
        <v>11</v>
      </c>
      <c r="D895" s="2">
        <v>42687.554166666669</v>
      </c>
      <c r="E895" s="2" t="str">
        <f t="shared" si="15"/>
        <v>11</v>
      </c>
      <c r="F895" t="s">
        <v>7</v>
      </c>
      <c r="G895" t="s">
        <v>216</v>
      </c>
      <c r="H895" t="s">
        <v>193</v>
      </c>
      <c r="I895">
        <v>0.9</v>
      </c>
    </row>
    <row r="896" spans="1:10" x14ac:dyDescent="0.25">
      <c r="A896" s="1">
        <v>957</v>
      </c>
      <c r="B896" s="2">
        <v>42687.607638888891</v>
      </c>
      <c r="C896" s="2" t="str">
        <f t="shared" si="15"/>
        <v>11</v>
      </c>
      <c r="D896" s="2">
        <v>42687.615277777782</v>
      </c>
      <c r="E896" s="2" t="str">
        <f t="shared" si="15"/>
        <v>11</v>
      </c>
      <c r="F896" t="s">
        <v>7</v>
      </c>
      <c r="G896" t="s">
        <v>193</v>
      </c>
      <c r="H896" t="s">
        <v>207</v>
      </c>
      <c r="I896">
        <v>2.4</v>
      </c>
    </row>
    <row r="897" spans="1:10" x14ac:dyDescent="0.25">
      <c r="A897" s="1">
        <v>958</v>
      </c>
      <c r="B897" s="2">
        <v>42687.634722222218</v>
      </c>
      <c r="C897" s="2" t="str">
        <f t="shared" si="15"/>
        <v>11</v>
      </c>
      <c r="D897" s="2">
        <v>42687.64166666667</v>
      </c>
      <c r="E897" s="2" t="str">
        <f t="shared" si="15"/>
        <v>11</v>
      </c>
      <c r="F897" t="s">
        <v>7</v>
      </c>
      <c r="G897" t="s">
        <v>207</v>
      </c>
      <c r="H897" t="s">
        <v>193</v>
      </c>
      <c r="I897">
        <v>1.9</v>
      </c>
    </row>
    <row r="898" spans="1:10" x14ac:dyDescent="0.25">
      <c r="A898" s="1">
        <v>959</v>
      </c>
      <c r="B898" s="2">
        <v>42687.657638888893</v>
      </c>
      <c r="C898" s="2" t="str">
        <f t="shared" si="15"/>
        <v>11</v>
      </c>
      <c r="D898" s="2">
        <v>42687.665972222218</v>
      </c>
      <c r="E898" s="2" t="str">
        <f t="shared" si="15"/>
        <v>11</v>
      </c>
      <c r="F898" t="s">
        <v>7</v>
      </c>
      <c r="G898" t="s">
        <v>193</v>
      </c>
      <c r="H898" t="s">
        <v>207</v>
      </c>
      <c r="I898">
        <v>1.9</v>
      </c>
    </row>
    <row r="899" spans="1:10" x14ac:dyDescent="0.25">
      <c r="A899" s="1">
        <v>960</v>
      </c>
      <c r="B899" s="2">
        <v>42688.474999999999</v>
      </c>
      <c r="C899" s="2" t="str">
        <f t="shared" ref="C899:E962" si="16" xml:space="preserve"> TEXT(B899, "mm")</f>
        <v>11</v>
      </c>
      <c r="D899" s="2">
        <v>42688.509027777778</v>
      </c>
      <c r="E899" s="2" t="str">
        <f t="shared" si="16"/>
        <v>11</v>
      </c>
      <c r="F899" t="s">
        <v>7</v>
      </c>
      <c r="G899" t="s">
        <v>147</v>
      </c>
      <c r="H899" t="s">
        <v>217</v>
      </c>
      <c r="I899">
        <v>44.6</v>
      </c>
      <c r="J899" t="s">
        <v>13</v>
      </c>
    </row>
    <row r="900" spans="1:10" x14ac:dyDescent="0.25">
      <c r="A900" s="1">
        <v>961</v>
      </c>
      <c r="B900" s="2">
        <v>42688.569444444453</v>
      </c>
      <c r="C900" s="2" t="str">
        <f t="shared" si="16"/>
        <v>11</v>
      </c>
      <c r="D900" s="2">
        <v>42688.606249999997</v>
      </c>
      <c r="E900" s="2" t="str">
        <f t="shared" si="16"/>
        <v>11</v>
      </c>
      <c r="F900" t="s">
        <v>7</v>
      </c>
      <c r="G900" t="s">
        <v>217</v>
      </c>
      <c r="H900" t="s">
        <v>147</v>
      </c>
      <c r="I900">
        <v>43.6</v>
      </c>
      <c r="J900" t="s">
        <v>13</v>
      </c>
    </row>
    <row r="901" spans="1:10" x14ac:dyDescent="0.25">
      <c r="A901" s="1">
        <v>962</v>
      </c>
      <c r="B901" s="2">
        <v>42688.643750000003</v>
      </c>
      <c r="C901" s="2" t="str">
        <f t="shared" si="16"/>
        <v>11</v>
      </c>
      <c r="D901" s="2">
        <v>42688.65</v>
      </c>
      <c r="E901" s="2" t="str">
        <f t="shared" si="16"/>
        <v>11</v>
      </c>
      <c r="F901" t="s">
        <v>7</v>
      </c>
      <c r="G901" t="s">
        <v>147</v>
      </c>
      <c r="H901" t="s">
        <v>146</v>
      </c>
      <c r="I901">
        <v>2.5</v>
      </c>
    </row>
    <row r="902" spans="1:10" x14ac:dyDescent="0.25">
      <c r="A902" s="1">
        <v>963</v>
      </c>
      <c r="B902" s="2">
        <v>42688.84652777778</v>
      </c>
      <c r="C902" s="2" t="str">
        <f t="shared" si="16"/>
        <v>11</v>
      </c>
      <c r="D902" s="2">
        <v>42688.854166666657</v>
      </c>
      <c r="E902" s="2" t="str">
        <f t="shared" si="16"/>
        <v>11</v>
      </c>
      <c r="F902" t="s">
        <v>7</v>
      </c>
      <c r="G902" t="s">
        <v>146</v>
      </c>
      <c r="H902" t="s">
        <v>147</v>
      </c>
      <c r="I902">
        <v>3.7</v>
      </c>
      <c r="J902" t="s">
        <v>10</v>
      </c>
    </row>
    <row r="903" spans="1:10" x14ac:dyDescent="0.25">
      <c r="A903" s="1">
        <v>964</v>
      </c>
      <c r="B903" s="2">
        <v>42689.582638888889</v>
      </c>
      <c r="C903" s="2" t="str">
        <f t="shared" si="16"/>
        <v>11</v>
      </c>
      <c r="D903" s="2">
        <v>42689.587500000001</v>
      </c>
      <c r="E903" s="2" t="str">
        <f t="shared" si="16"/>
        <v>11</v>
      </c>
      <c r="F903" t="s">
        <v>7</v>
      </c>
      <c r="G903" t="s">
        <v>147</v>
      </c>
      <c r="H903" t="s">
        <v>145</v>
      </c>
      <c r="I903">
        <v>5.0999999999999996</v>
      </c>
    </row>
    <row r="904" spans="1:10" x14ac:dyDescent="0.25">
      <c r="A904" s="1">
        <v>965</v>
      </c>
      <c r="B904" s="2">
        <v>42689.589583333327</v>
      </c>
      <c r="C904" s="2" t="str">
        <f t="shared" si="16"/>
        <v>11</v>
      </c>
      <c r="D904" s="2">
        <v>42689.601388888892</v>
      </c>
      <c r="E904" s="2" t="str">
        <f t="shared" si="16"/>
        <v>11</v>
      </c>
      <c r="F904" t="s">
        <v>7</v>
      </c>
      <c r="G904" t="s">
        <v>145</v>
      </c>
      <c r="H904" t="s">
        <v>123</v>
      </c>
      <c r="I904">
        <v>9.6999999999999993</v>
      </c>
      <c r="J904" t="s">
        <v>24</v>
      </c>
    </row>
    <row r="905" spans="1:10" x14ac:dyDescent="0.25">
      <c r="A905" s="1">
        <v>966</v>
      </c>
      <c r="B905" s="2">
        <v>42689.863888888889</v>
      </c>
      <c r="C905" s="2" t="str">
        <f t="shared" si="16"/>
        <v>11</v>
      </c>
      <c r="D905" s="2">
        <v>42689.875</v>
      </c>
      <c r="E905" s="2" t="str">
        <f t="shared" si="16"/>
        <v>11</v>
      </c>
      <c r="F905" t="s">
        <v>7</v>
      </c>
      <c r="G905" t="s">
        <v>123</v>
      </c>
      <c r="H905" t="s">
        <v>147</v>
      </c>
      <c r="I905">
        <v>11.8</v>
      </c>
      <c r="J905" t="s">
        <v>24</v>
      </c>
    </row>
    <row r="906" spans="1:10" x14ac:dyDescent="0.25">
      <c r="A906" s="1">
        <v>967</v>
      </c>
      <c r="B906" s="2">
        <v>42690.847916666673</v>
      </c>
      <c r="C906" s="2" t="str">
        <f t="shared" si="16"/>
        <v>11</v>
      </c>
      <c r="D906" s="2">
        <v>42690.852083333331</v>
      </c>
      <c r="E906" s="2" t="str">
        <f t="shared" si="16"/>
        <v>11</v>
      </c>
      <c r="F906" t="s">
        <v>7</v>
      </c>
      <c r="G906" t="s">
        <v>147</v>
      </c>
      <c r="H906" t="s">
        <v>218</v>
      </c>
      <c r="I906">
        <v>2.2999999999999998</v>
      </c>
      <c r="J906" t="s">
        <v>24</v>
      </c>
    </row>
    <row r="907" spans="1:10" x14ac:dyDescent="0.25">
      <c r="A907" s="1">
        <v>968</v>
      </c>
      <c r="B907" s="2">
        <v>42690.952777777777</v>
      </c>
      <c r="C907" s="2" t="str">
        <f t="shared" si="16"/>
        <v>11</v>
      </c>
      <c r="D907" s="2">
        <v>42690.959722222222</v>
      </c>
      <c r="E907" s="2" t="str">
        <f t="shared" si="16"/>
        <v>11</v>
      </c>
      <c r="F907" t="s">
        <v>7</v>
      </c>
      <c r="G907" t="s">
        <v>218</v>
      </c>
      <c r="H907" t="s">
        <v>147</v>
      </c>
      <c r="I907">
        <v>3.1</v>
      </c>
      <c r="J907" t="s">
        <v>9</v>
      </c>
    </row>
    <row r="908" spans="1:10" x14ac:dyDescent="0.25">
      <c r="A908" s="1">
        <v>969</v>
      </c>
      <c r="B908" s="2">
        <v>42691.425694444442</v>
      </c>
      <c r="C908" s="2" t="str">
        <f t="shared" si="16"/>
        <v>11</v>
      </c>
      <c r="D908" s="2">
        <v>42691.447222222218</v>
      </c>
      <c r="E908" s="2" t="str">
        <f t="shared" si="16"/>
        <v>11</v>
      </c>
      <c r="F908" t="s">
        <v>7</v>
      </c>
      <c r="G908" t="s">
        <v>147</v>
      </c>
      <c r="H908" t="s">
        <v>145</v>
      </c>
      <c r="I908">
        <v>16.3</v>
      </c>
      <c r="J908" t="s">
        <v>13</v>
      </c>
    </row>
    <row r="909" spans="1:10" x14ac:dyDescent="0.25">
      <c r="A909" s="1">
        <v>970</v>
      </c>
      <c r="B909" s="2">
        <v>42692.839583333327</v>
      </c>
      <c r="C909" s="2" t="str">
        <f t="shared" si="16"/>
        <v>11</v>
      </c>
      <c r="D909" s="2">
        <v>42692.84652777778</v>
      </c>
      <c r="E909" s="2" t="str">
        <f t="shared" si="16"/>
        <v>11</v>
      </c>
      <c r="F909" t="s">
        <v>7</v>
      </c>
      <c r="G909" t="s">
        <v>15</v>
      </c>
      <c r="H909" t="s">
        <v>16</v>
      </c>
      <c r="I909">
        <v>3.1</v>
      </c>
      <c r="J909" t="s">
        <v>9</v>
      </c>
    </row>
    <row r="910" spans="1:10" x14ac:dyDescent="0.25">
      <c r="A910" s="1">
        <v>971</v>
      </c>
      <c r="B910" s="2">
        <v>42692.890972222223</v>
      </c>
      <c r="C910" s="2" t="str">
        <f t="shared" si="16"/>
        <v>11</v>
      </c>
      <c r="D910" s="2">
        <v>42692.898611111108</v>
      </c>
      <c r="E910" s="2" t="str">
        <f t="shared" si="16"/>
        <v>11</v>
      </c>
      <c r="F910" t="s">
        <v>7</v>
      </c>
      <c r="G910" t="s">
        <v>16</v>
      </c>
      <c r="H910" t="s">
        <v>15</v>
      </c>
      <c r="I910">
        <v>5.2</v>
      </c>
      <c r="J910" t="s">
        <v>9</v>
      </c>
    </row>
    <row r="911" spans="1:10" x14ac:dyDescent="0.25">
      <c r="A911" s="1">
        <v>972</v>
      </c>
      <c r="B911" s="2">
        <v>42692.913888888892</v>
      </c>
      <c r="C911" s="2" t="str">
        <f t="shared" si="16"/>
        <v>11</v>
      </c>
      <c r="D911" s="2">
        <v>42692.931250000001</v>
      </c>
      <c r="E911" s="2" t="str">
        <f t="shared" si="16"/>
        <v>11</v>
      </c>
      <c r="F911" t="s">
        <v>7</v>
      </c>
      <c r="G911" t="s">
        <v>219</v>
      </c>
      <c r="H911" t="s">
        <v>38</v>
      </c>
      <c r="I911">
        <v>6.1</v>
      </c>
      <c r="J911" t="s">
        <v>11</v>
      </c>
    </row>
    <row r="912" spans="1:10" x14ac:dyDescent="0.25">
      <c r="A912" s="1">
        <v>973</v>
      </c>
      <c r="B912" s="2">
        <v>42693.57708333333</v>
      </c>
      <c r="C912" s="2" t="str">
        <f t="shared" si="16"/>
        <v>11</v>
      </c>
      <c r="D912" s="2">
        <v>42693.590277777781</v>
      </c>
      <c r="E912" s="2" t="str">
        <f t="shared" si="16"/>
        <v>11</v>
      </c>
      <c r="F912" t="s">
        <v>7</v>
      </c>
      <c r="G912" t="s">
        <v>15</v>
      </c>
      <c r="H912" t="s">
        <v>36</v>
      </c>
      <c r="I912">
        <v>10.3</v>
      </c>
      <c r="J912" t="s">
        <v>11</v>
      </c>
    </row>
    <row r="913" spans="1:10" x14ac:dyDescent="0.25">
      <c r="A913" s="1">
        <v>974</v>
      </c>
      <c r="B913" s="2">
        <v>42693.604166666657</v>
      </c>
      <c r="C913" s="2" t="str">
        <f t="shared" si="16"/>
        <v>11</v>
      </c>
      <c r="D913" s="2">
        <v>42693.618750000001</v>
      </c>
      <c r="E913" s="2" t="str">
        <f t="shared" si="16"/>
        <v>11</v>
      </c>
      <c r="F913" t="s">
        <v>7</v>
      </c>
      <c r="G913" t="s">
        <v>36</v>
      </c>
      <c r="H913" t="s">
        <v>15</v>
      </c>
      <c r="I913">
        <v>10.5</v>
      </c>
      <c r="J913" t="s">
        <v>11</v>
      </c>
    </row>
    <row r="914" spans="1:10" x14ac:dyDescent="0.25">
      <c r="A914" s="1">
        <v>975</v>
      </c>
      <c r="B914" s="2">
        <v>42693.667361111111</v>
      </c>
      <c r="C914" s="2" t="str">
        <f t="shared" si="16"/>
        <v>11</v>
      </c>
      <c r="D914" s="2">
        <v>42693.67083333333</v>
      </c>
      <c r="E914" s="2" t="str">
        <f t="shared" si="16"/>
        <v>11</v>
      </c>
      <c r="F914" t="s">
        <v>7</v>
      </c>
      <c r="G914" t="s">
        <v>15</v>
      </c>
      <c r="H914" t="s">
        <v>15</v>
      </c>
      <c r="I914">
        <v>1.5</v>
      </c>
    </row>
    <row r="915" spans="1:10" x14ac:dyDescent="0.25">
      <c r="A915" s="1">
        <v>976</v>
      </c>
      <c r="B915" s="2">
        <v>42693.685416666667</v>
      </c>
      <c r="C915" s="2" t="str">
        <f t="shared" si="16"/>
        <v>11</v>
      </c>
      <c r="D915" s="2">
        <v>42693.695138888892</v>
      </c>
      <c r="E915" s="2" t="str">
        <f t="shared" si="16"/>
        <v>11</v>
      </c>
      <c r="F915" t="s">
        <v>7</v>
      </c>
      <c r="G915" t="s">
        <v>15</v>
      </c>
      <c r="H915" t="s">
        <v>15</v>
      </c>
      <c r="I915">
        <v>1.8</v>
      </c>
    </row>
    <row r="916" spans="1:10" x14ac:dyDescent="0.25">
      <c r="A916" s="1">
        <v>977</v>
      </c>
      <c r="B916" s="2">
        <v>42693.736805555563</v>
      </c>
      <c r="C916" s="2" t="str">
        <f t="shared" si="16"/>
        <v>11</v>
      </c>
      <c r="D916" s="2">
        <v>42693.745833333327</v>
      </c>
      <c r="E916" s="2" t="str">
        <f t="shared" si="16"/>
        <v>11</v>
      </c>
      <c r="F916" t="s">
        <v>7</v>
      </c>
      <c r="G916" t="s">
        <v>15</v>
      </c>
      <c r="H916" t="s">
        <v>48</v>
      </c>
      <c r="I916">
        <v>5.4</v>
      </c>
      <c r="J916" t="s">
        <v>10</v>
      </c>
    </row>
    <row r="917" spans="1:10" x14ac:dyDescent="0.25">
      <c r="A917" s="1">
        <v>978</v>
      </c>
      <c r="B917" s="2">
        <v>42693.884722222218</v>
      </c>
      <c r="C917" s="2" t="str">
        <f t="shared" si="16"/>
        <v>11</v>
      </c>
      <c r="D917" s="2">
        <v>42693.899305555547</v>
      </c>
      <c r="E917" s="2" t="str">
        <f t="shared" si="16"/>
        <v>11</v>
      </c>
      <c r="F917" t="s">
        <v>7</v>
      </c>
      <c r="G917" t="s">
        <v>48</v>
      </c>
      <c r="H917" t="s">
        <v>15</v>
      </c>
      <c r="I917">
        <v>5.4</v>
      </c>
      <c r="J917" t="s">
        <v>13</v>
      </c>
    </row>
    <row r="918" spans="1:10" x14ac:dyDescent="0.25">
      <c r="A918" s="1">
        <v>979</v>
      </c>
      <c r="B918" s="2">
        <v>42694.435416666667</v>
      </c>
      <c r="C918" s="2" t="str">
        <f t="shared" si="16"/>
        <v>11</v>
      </c>
      <c r="D918" s="2">
        <v>42694.480555555558</v>
      </c>
      <c r="E918" s="2" t="str">
        <f t="shared" si="16"/>
        <v>11</v>
      </c>
      <c r="F918" t="s">
        <v>7</v>
      </c>
      <c r="G918" t="s">
        <v>15</v>
      </c>
      <c r="H918" t="s">
        <v>15</v>
      </c>
      <c r="I918">
        <v>39.200000000000003</v>
      </c>
      <c r="J918" t="s">
        <v>53</v>
      </c>
    </row>
    <row r="919" spans="1:10" x14ac:dyDescent="0.25">
      <c r="A919" s="1">
        <v>980</v>
      </c>
      <c r="B919" s="2">
        <v>42694.498611111107</v>
      </c>
      <c r="C919" s="2" t="str">
        <f t="shared" si="16"/>
        <v>11</v>
      </c>
      <c r="D919" s="2">
        <v>42694.519444444442</v>
      </c>
      <c r="E919" s="2" t="str">
        <f t="shared" si="16"/>
        <v>11</v>
      </c>
      <c r="F919" t="s">
        <v>7</v>
      </c>
      <c r="G919" t="s">
        <v>15</v>
      </c>
      <c r="H919" t="s">
        <v>15</v>
      </c>
      <c r="I919">
        <v>6.4</v>
      </c>
      <c r="J919" t="s">
        <v>13</v>
      </c>
    </row>
    <row r="920" spans="1:10" x14ac:dyDescent="0.25">
      <c r="A920" s="1">
        <v>981</v>
      </c>
      <c r="B920" s="2">
        <v>42694.623611111107</v>
      </c>
      <c r="C920" s="2" t="str">
        <f t="shared" si="16"/>
        <v>11</v>
      </c>
      <c r="D920" s="2">
        <v>42694.629861111112</v>
      </c>
      <c r="E920" s="2" t="str">
        <f t="shared" si="16"/>
        <v>11</v>
      </c>
      <c r="F920" t="s">
        <v>7</v>
      </c>
      <c r="G920" t="s">
        <v>15</v>
      </c>
      <c r="H920" t="s">
        <v>15</v>
      </c>
      <c r="I920">
        <v>2.7</v>
      </c>
      <c r="J920" t="s">
        <v>11</v>
      </c>
    </row>
    <row r="921" spans="1:10" x14ac:dyDescent="0.25">
      <c r="A921" s="1">
        <v>982</v>
      </c>
      <c r="B921" s="2">
        <v>42694.739583333343</v>
      </c>
      <c r="C921" s="2" t="str">
        <f t="shared" si="16"/>
        <v>11</v>
      </c>
      <c r="D921" s="2">
        <v>42694.775694444441</v>
      </c>
      <c r="E921" s="2" t="str">
        <f t="shared" si="16"/>
        <v>11</v>
      </c>
      <c r="F921" t="s">
        <v>7</v>
      </c>
      <c r="G921" t="s">
        <v>15</v>
      </c>
      <c r="H921" t="s">
        <v>15</v>
      </c>
      <c r="I921">
        <v>18.5</v>
      </c>
      <c r="J921" t="s">
        <v>10</v>
      </c>
    </row>
    <row r="922" spans="1:10" x14ac:dyDescent="0.25">
      <c r="A922" s="1">
        <v>983</v>
      </c>
      <c r="B922" s="2">
        <v>42695.567361111112</v>
      </c>
      <c r="C922" s="2" t="str">
        <f t="shared" si="16"/>
        <v>11</v>
      </c>
      <c r="D922" s="2">
        <v>42695.575694444437</v>
      </c>
      <c r="E922" s="2" t="str">
        <f t="shared" si="16"/>
        <v>11</v>
      </c>
      <c r="F922" t="s">
        <v>7</v>
      </c>
      <c r="G922" t="s">
        <v>15</v>
      </c>
      <c r="H922" t="s">
        <v>15</v>
      </c>
      <c r="I922">
        <v>2.5</v>
      </c>
      <c r="J922" t="s">
        <v>9</v>
      </c>
    </row>
    <row r="923" spans="1:10" x14ac:dyDescent="0.25">
      <c r="A923" s="1">
        <v>984</v>
      </c>
      <c r="B923" s="2">
        <v>42695.606944444437</v>
      </c>
      <c r="C923" s="2" t="str">
        <f t="shared" si="16"/>
        <v>11</v>
      </c>
      <c r="D923" s="2">
        <v>42695.613888888889</v>
      </c>
      <c r="E923" s="2" t="str">
        <f t="shared" si="16"/>
        <v>11</v>
      </c>
      <c r="F923" t="s">
        <v>7</v>
      </c>
      <c r="G923" t="s">
        <v>15</v>
      </c>
      <c r="H923" t="s">
        <v>15</v>
      </c>
      <c r="I923">
        <v>2.1</v>
      </c>
      <c r="J923" t="s">
        <v>9</v>
      </c>
    </row>
    <row r="924" spans="1:10" x14ac:dyDescent="0.25">
      <c r="A924" s="1">
        <v>985</v>
      </c>
      <c r="B924" s="2">
        <v>42695.743055555547</v>
      </c>
      <c r="C924" s="2" t="str">
        <f t="shared" si="16"/>
        <v>11</v>
      </c>
      <c r="D924" s="2">
        <v>42695.75277777778</v>
      </c>
      <c r="E924" s="2" t="str">
        <f t="shared" si="16"/>
        <v>11</v>
      </c>
      <c r="F924" t="s">
        <v>7</v>
      </c>
      <c r="G924" t="s">
        <v>15</v>
      </c>
      <c r="H924" t="s">
        <v>65</v>
      </c>
      <c r="I924">
        <v>6.7</v>
      </c>
      <c r="J924" t="s">
        <v>10</v>
      </c>
    </row>
    <row r="925" spans="1:10" x14ac:dyDescent="0.25">
      <c r="A925" s="1">
        <v>986</v>
      </c>
      <c r="B925" s="2">
        <v>42695.762499999997</v>
      </c>
      <c r="C925" s="2" t="str">
        <f t="shared" si="16"/>
        <v>11</v>
      </c>
      <c r="D925" s="2">
        <v>42695.768750000003</v>
      </c>
      <c r="E925" s="2" t="str">
        <f t="shared" si="16"/>
        <v>11</v>
      </c>
      <c r="F925" t="s">
        <v>7</v>
      </c>
      <c r="G925" t="s">
        <v>65</v>
      </c>
      <c r="H925" t="s">
        <v>16</v>
      </c>
      <c r="I925">
        <v>3.5</v>
      </c>
      <c r="J925" t="s">
        <v>9</v>
      </c>
    </row>
    <row r="926" spans="1:10" x14ac:dyDescent="0.25">
      <c r="A926" s="1">
        <v>987</v>
      </c>
      <c r="B926" s="2">
        <v>42695.779861111107</v>
      </c>
      <c r="C926" s="2" t="str">
        <f t="shared" si="16"/>
        <v>11</v>
      </c>
      <c r="D926" s="2">
        <v>42695.785416666673</v>
      </c>
      <c r="E926" s="2" t="str">
        <f t="shared" si="16"/>
        <v>11</v>
      </c>
      <c r="F926" t="s">
        <v>7</v>
      </c>
      <c r="G926" t="s">
        <v>16</v>
      </c>
      <c r="H926" t="s">
        <v>15</v>
      </c>
      <c r="I926">
        <v>3.4</v>
      </c>
      <c r="J926" t="s">
        <v>10</v>
      </c>
    </row>
    <row r="927" spans="1:10" x14ac:dyDescent="0.25">
      <c r="A927" s="1">
        <v>988</v>
      </c>
      <c r="B927" s="2">
        <v>42696.633333333331</v>
      </c>
      <c r="C927" s="2" t="str">
        <f t="shared" si="16"/>
        <v>11</v>
      </c>
      <c r="D927" s="2">
        <v>42696.643750000003</v>
      </c>
      <c r="E927" s="2" t="str">
        <f t="shared" si="16"/>
        <v>11</v>
      </c>
      <c r="F927" t="s">
        <v>7</v>
      </c>
      <c r="G927" t="s">
        <v>15</v>
      </c>
      <c r="H927" t="s">
        <v>15</v>
      </c>
      <c r="I927">
        <v>5.5</v>
      </c>
      <c r="J927" t="s">
        <v>11</v>
      </c>
    </row>
    <row r="928" spans="1:10" x14ac:dyDescent="0.25">
      <c r="A928" s="1">
        <v>989</v>
      </c>
      <c r="B928" s="2">
        <v>42696.646527777782</v>
      </c>
      <c r="C928" s="2" t="str">
        <f t="shared" si="16"/>
        <v>11</v>
      </c>
      <c r="D928" s="2">
        <v>42696.655555555553</v>
      </c>
      <c r="E928" s="2" t="str">
        <f t="shared" si="16"/>
        <v>11</v>
      </c>
      <c r="F928" t="s">
        <v>7</v>
      </c>
      <c r="G928" t="s">
        <v>15</v>
      </c>
      <c r="H928" t="s">
        <v>15</v>
      </c>
      <c r="I928">
        <v>4.0999999999999996</v>
      </c>
      <c r="J928" t="s">
        <v>11</v>
      </c>
    </row>
    <row r="929" spans="1:10" x14ac:dyDescent="0.25">
      <c r="A929" s="1">
        <v>990</v>
      </c>
      <c r="B929" s="2">
        <v>42696.660416666673</v>
      </c>
      <c r="C929" s="2" t="str">
        <f t="shared" si="16"/>
        <v>11</v>
      </c>
      <c r="D929" s="2">
        <v>42696.696527777778</v>
      </c>
      <c r="E929" s="2" t="str">
        <f t="shared" si="16"/>
        <v>11</v>
      </c>
      <c r="F929" t="s">
        <v>7</v>
      </c>
      <c r="G929" t="s">
        <v>15</v>
      </c>
      <c r="H929" t="s">
        <v>15</v>
      </c>
      <c r="I929">
        <v>12.7</v>
      </c>
      <c r="J929" t="s">
        <v>13</v>
      </c>
    </row>
    <row r="930" spans="1:10" x14ac:dyDescent="0.25">
      <c r="A930" s="1">
        <v>991</v>
      </c>
      <c r="B930" s="2">
        <v>42696.762499999997</v>
      </c>
      <c r="C930" s="2" t="str">
        <f t="shared" si="16"/>
        <v>11</v>
      </c>
      <c r="D930" s="2">
        <v>42696.769444444442</v>
      </c>
      <c r="E930" s="2" t="str">
        <f t="shared" si="16"/>
        <v>11</v>
      </c>
      <c r="F930" t="s">
        <v>7</v>
      </c>
      <c r="G930" t="s">
        <v>15</v>
      </c>
      <c r="H930" t="s">
        <v>16</v>
      </c>
      <c r="I930">
        <v>3</v>
      </c>
      <c r="J930" t="s">
        <v>9</v>
      </c>
    </row>
    <row r="931" spans="1:10" x14ac:dyDescent="0.25">
      <c r="A931" s="1">
        <v>992</v>
      </c>
      <c r="B931" s="2">
        <v>42696.876388888893</v>
      </c>
      <c r="C931" s="2" t="str">
        <f t="shared" si="16"/>
        <v>11</v>
      </c>
      <c r="D931" s="2">
        <v>42696.884722222218</v>
      </c>
      <c r="E931" s="2" t="str">
        <f t="shared" si="16"/>
        <v>11</v>
      </c>
      <c r="F931" t="s">
        <v>7</v>
      </c>
      <c r="G931" t="s">
        <v>16</v>
      </c>
      <c r="H931" t="s">
        <v>15</v>
      </c>
      <c r="I931">
        <v>3.5</v>
      </c>
      <c r="J931" t="s">
        <v>13</v>
      </c>
    </row>
    <row r="932" spans="1:10" x14ac:dyDescent="0.25">
      <c r="A932" s="1">
        <v>993</v>
      </c>
      <c r="B932" s="2">
        <v>42697.648611111108</v>
      </c>
      <c r="C932" s="2" t="str">
        <f t="shared" si="16"/>
        <v>11</v>
      </c>
      <c r="D932" s="2">
        <v>42697.659722222219</v>
      </c>
      <c r="E932" s="2" t="str">
        <f t="shared" si="16"/>
        <v>11</v>
      </c>
      <c r="F932" t="s">
        <v>7</v>
      </c>
      <c r="G932" t="s">
        <v>15</v>
      </c>
      <c r="H932" t="s">
        <v>15</v>
      </c>
      <c r="I932">
        <v>5.9</v>
      </c>
      <c r="J932" t="s">
        <v>9</v>
      </c>
    </row>
    <row r="933" spans="1:10" x14ac:dyDescent="0.25">
      <c r="A933" s="1">
        <v>994</v>
      </c>
      <c r="B933" s="2">
        <v>42697.679166666669</v>
      </c>
      <c r="C933" s="2" t="str">
        <f t="shared" si="16"/>
        <v>11</v>
      </c>
      <c r="D933" s="2">
        <v>42697.686805555553</v>
      </c>
      <c r="E933" s="2" t="str">
        <f t="shared" si="16"/>
        <v>11</v>
      </c>
      <c r="F933" t="s">
        <v>7</v>
      </c>
      <c r="G933" t="s">
        <v>15</v>
      </c>
      <c r="H933" t="s">
        <v>15</v>
      </c>
      <c r="I933">
        <v>1.9</v>
      </c>
    </row>
    <row r="934" spans="1:10" x14ac:dyDescent="0.25">
      <c r="A934" s="1">
        <v>995</v>
      </c>
      <c r="B934" s="2">
        <v>42697.700694444437</v>
      </c>
      <c r="C934" s="2" t="str">
        <f t="shared" si="16"/>
        <v>11</v>
      </c>
      <c r="D934" s="2">
        <v>42697.708333333343</v>
      </c>
      <c r="E934" s="2" t="str">
        <f t="shared" si="16"/>
        <v>11</v>
      </c>
      <c r="F934" t="s">
        <v>7</v>
      </c>
      <c r="G934" t="s">
        <v>15</v>
      </c>
      <c r="H934" t="s">
        <v>15</v>
      </c>
      <c r="I934">
        <v>3.3</v>
      </c>
    </row>
    <row r="935" spans="1:10" x14ac:dyDescent="0.25">
      <c r="A935" s="1">
        <v>996</v>
      </c>
      <c r="B935" s="2">
        <v>42697.775694444441</v>
      </c>
      <c r="C935" s="2" t="str">
        <f t="shared" si="16"/>
        <v>11</v>
      </c>
      <c r="D935" s="2">
        <v>42697.782638888893</v>
      </c>
      <c r="E935" s="2" t="str">
        <f t="shared" si="16"/>
        <v>11</v>
      </c>
      <c r="F935" t="s">
        <v>7</v>
      </c>
      <c r="G935" t="s">
        <v>15</v>
      </c>
      <c r="H935" t="s">
        <v>15</v>
      </c>
      <c r="I935">
        <v>1.3</v>
      </c>
    </row>
    <row r="936" spans="1:10" x14ac:dyDescent="0.25">
      <c r="A936" s="1">
        <v>997</v>
      </c>
      <c r="B936" s="2">
        <v>42699.490972222222</v>
      </c>
      <c r="C936" s="2" t="str">
        <f t="shared" si="16"/>
        <v>11</v>
      </c>
      <c r="D936" s="2">
        <v>42699.50277777778</v>
      </c>
      <c r="E936" s="2" t="str">
        <f t="shared" si="16"/>
        <v>11</v>
      </c>
      <c r="F936" t="s">
        <v>7</v>
      </c>
      <c r="G936" t="s">
        <v>15</v>
      </c>
      <c r="H936" t="s">
        <v>36</v>
      </c>
      <c r="I936">
        <v>10.3</v>
      </c>
      <c r="J936" t="s">
        <v>11</v>
      </c>
    </row>
    <row r="937" spans="1:10" x14ac:dyDescent="0.25">
      <c r="A937" s="1">
        <v>998</v>
      </c>
      <c r="B937" s="2">
        <v>42699.550694444442</v>
      </c>
      <c r="C937" s="2" t="str">
        <f t="shared" si="16"/>
        <v>11</v>
      </c>
      <c r="D937" s="2">
        <v>42699.563194444447</v>
      </c>
      <c r="E937" s="2" t="str">
        <f t="shared" si="16"/>
        <v>11</v>
      </c>
      <c r="F937" t="s">
        <v>7</v>
      </c>
      <c r="G937" t="s">
        <v>36</v>
      </c>
      <c r="H937" t="s">
        <v>15</v>
      </c>
      <c r="I937">
        <v>11.1</v>
      </c>
      <c r="J937" t="s">
        <v>11</v>
      </c>
    </row>
    <row r="938" spans="1:10" x14ac:dyDescent="0.25">
      <c r="A938" s="1">
        <v>999</v>
      </c>
      <c r="B938" s="2">
        <v>42700.662499999999</v>
      </c>
      <c r="C938" s="2" t="str">
        <f t="shared" si="16"/>
        <v>11</v>
      </c>
      <c r="D938" s="2">
        <v>42700.665972222218</v>
      </c>
      <c r="E938" s="2" t="str">
        <f t="shared" si="16"/>
        <v>11</v>
      </c>
      <c r="F938" t="s">
        <v>7</v>
      </c>
      <c r="G938" t="s">
        <v>15</v>
      </c>
      <c r="H938" t="s">
        <v>15</v>
      </c>
      <c r="I938">
        <v>1.4</v>
      </c>
    </row>
    <row r="939" spans="1:10" x14ac:dyDescent="0.25">
      <c r="A939" s="1">
        <v>1000</v>
      </c>
      <c r="B939" s="2">
        <v>42700.708333333343</v>
      </c>
      <c r="C939" s="2" t="str">
        <f t="shared" si="16"/>
        <v>11</v>
      </c>
      <c r="D939" s="2">
        <v>42700.716666666667</v>
      </c>
      <c r="E939" s="2" t="str">
        <f t="shared" si="16"/>
        <v>11</v>
      </c>
      <c r="F939" t="s">
        <v>7</v>
      </c>
      <c r="G939" t="s">
        <v>15</v>
      </c>
      <c r="H939" t="s">
        <v>48</v>
      </c>
      <c r="I939">
        <v>5.0999999999999996</v>
      </c>
      <c r="J939" t="s">
        <v>11</v>
      </c>
    </row>
    <row r="940" spans="1:10" x14ac:dyDescent="0.25">
      <c r="A940" s="1">
        <v>1001</v>
      </c>
      <c r="B940" s="2">
        <v>42700.73333333333</v>
      </c>
      <c r="C940" s="2" t="str">
        <f t="shared" si="16"/>
        <v>11</v>
      </c>
      <c r="D940" s="2">
        <v>42700.74722222222</v>
      </c>
      <c r="E940" s="2" t="str">
        <f t="shared" si="16"/>
        <v>11</v>
      </c>
      <c r="F940" t="s">
        <v>7</v>
      </c>
      <c r="G940" t="s">
        <v>48</v>
      </c>
      <c r="H940" t="s">
        <v>112</v>
      </c>
      <c r="I940">
        <v>9</v>
      </c>
      <c r="J940" t="s">
        <v>11</v>
      </c>
    </row>
    <row r="941" spans="1:10" x14ac:dyDescent="0.25">
      <c r="A941" s="1">
        <v>1002</v>
      </c>
      <c r="B941" s="2">
        <v>42700.770138888889</v>
      </c>
      <c r="C941" s="2" t="str">
        <f t="shared" si="16"/>
        <v>11</v>
      </c>
      <c r="D941" s="2">
        <v>42700.794444444437</v>
      </c>
      <c r="E941" s="2" t="str">
        <f t="shared" si="16"/>
        <v>11</v>
      </c>
      <c r="F941" t="s">
        <v>7</v>
      </c>
      <c r="G941" t="s">
        <v>112</v>
      </c>
      <c r="H941" t="s">
        <v>15</v>
      </c>
      <c r="I941">
        <v>13.3</v>
      </c>
      <c r="J941" t="s">
        <v>53</v>
      </c>
    </row>
    <row r="942" spans="1:10" x14ac:dyDescent="0.25">
      <c r="A942" s="1">
        <v>1003</v>
      </c>
      <c r="B942" s="2">
        <v>42700.824305555558</v>
      </c>
      <c r="C942" s="2" t="str">
        <f t="shared" si="16"/>
        <v>11</v>
      </c>
      <c r="D942" s="2">
        <v>42700.82916666667</v>
      </c>
      <c r="E942" s="2" t="str">
        <f t="shared" si="16"/>
        <v>11</v>
      </c>
      <c r="F942" t="s">
        <v>7</v>
      </c>
      <c r="G942" t="s">
        <v>15</v>
      </c>
      <c r="H942" t="s">
        <v>15</v>
      </c>
      <c r="I942">
        <v>2.5</v>
      </c>
      <c r="J942" t="s">
        <v>10</v>
      </c>
    </row>
    <row r="943" spans="1:10" x14ac:dyDescent="0.25">
      <c r="A943" s="1">
        <v>1004</v>
      </c>
      <c r="B943" s="2">
        <v>42701.665972222218</v>
      </c>
      <c r="C943" s="2" t="str">
        <f t="shared" si="16"/>
        <v>11</v>
      </c>
      <c r="D943" s="2">
        <v>42701.67083333333</v>
      </c>
      <c r="E943" s="2" t="str">
        <f t="shared" si="16"/>
        <v>11</v>
      </c>
      <c r="F943" t="s">
        <v>7</v>
      </c>
      <c r="G943" t="s">
        <v>15</v>
      </c>
      <c r="H943" t="s">
        <v>16</v>
      </c>
      <c r="I943">
        <v>3.3</v>
      </c>
      <c r="J943" t="s">
        <v>9</v>
      </c>
    </row>
    <row r="944" spans="1:10" x14ac:dyDescent="0.25">
      <c r="A944" s="1">
        <v>1005</v>
      </c>
      <c r="B944" s="2">
        <v>42701.788194444453</v>
      </c>
      <c r="C944" s="2" t="str">
        <f t="shared" si="16"/>
        <v>11</v>
      </c>
      <c r="D944" s="2">
        <v>42701.79791666667</v>
      </c>
      <c r="E944" s="2" t="str">
        <f t="shared" si="16"/>
        <v>11</v>
      </c>
      <c r="F944" t="s">
        <v>7</v>
      </c>
      <c r="G944" t="s">
        <v>16</v>
      </c>
      <c r="H944" t="s">
        <v>15</v>
      </c>
      <c r="I944">
        <v>2.9</v>
      </c>
    </row>
    <row r="945" spans="1:10" x14ac:dyDescent="0.25">
      <c r="A945" s="1">
        <v>1006</v>
      </c>
      <c r="B945" s="2">
        <v>42704.460416666669</v>
      </c>
      <c r="C945" s="2" t="str">
        <f t="shared" si="16"/>
        <v>11</v>
      </c>
      <c r="D945" s="2">
        <v>42704.481944444437</v>
      </c>
      <c r="E945" s="2" t="str">
        <f t="shared" si="16"/>
        <v>11</v>
      </c>
      <c r="F945" t="s">
        <v>7</v>
      </c>
      <c r="G945" t="s">
        <v>15</v>
      </c>
      <c r="H945" t="s">
        <v>40</v>
      </c>
      <c r="I945">
        <v>8.5</v>
      </c>
      <c r="J945" t="s">
        <v>13</v>
      </c>
    </row>
    <row r="946" spans="1:10" x14ac:dyDescent="0.25">
      <c r="A946" s="1">
        <v>1007</v>
      </c>
      <c r="B946" s="2">
        <v>42704.495138888888</v>
      </c>
      <c r="C946" s="2" t="str">
        <f t="shared" si="16"/>
        <v>11</v>
      </c>
      <c r="D946" s="2">
        <v>42704.524305555547</v>
      </c>
      <c r="E946" s="2" t="str">
        <f t="shared" si="16"/>
        <v>11</v>
      </c>
      <c r="F946" t="s">
        <v>7</v>
      </c>
      <c r="G946" t="s">
        <v>40</v>
      </c>
      <c r="H946" t="s">
        <v>16</v>
      </c>
      <c r="I946">
        <v>6.7</v>
      </c>
      <c r="J946" t="s">
        <v>24</v>
      </c>
    </row>
    <row r="947" spans="1:10" x14ac:dyDescent="0.25">
      <c r="A947" s="1">
        <v>1008</v>
      </c>
      <c r="B947" s="2">
        <v>42704.529861111107</v>
      </c>
      <c r="C947" s="2" t="str">
        <f t="shared" si="16"/>
        <v>11</v>
      </c>
      <c r="D947" s="2">
        <v>42704.536805555559</v>
      </c>
      <c r="E947" s="2" t="str">
        <f t="shared" si="16"/>
        <v>11</v>
      </c>
      <c r="F947" t="s">
        <v>7</v>
      </c>
      <c r="G947" t="s">
        <v>16</v>
      </c>
      <c r="H947" t="s">
        <v>15</v>
      </c>
      <c r="I947">
        <v>3.1</v>
      </c>
    </row>
    <row r="948" spans="1:10" x14ac:dyDescent="0.25">
      <c r="A948" s="1">
        <v>1009</v>
      </c>
      <c r="B948" s="2">
        <v>42705.322222222218</v>
      </c>
      <c r="C948" s="2" t="str">
        <f t="shared" si="16"/>
        <v>12</v>
      </c>
      <c r="D948" s="2">
        <v>42705.332638888889</v>
      </c>
      <c r="E948" s="2" t="str">
        <f t="shared" si="16"/>
        <v>12</v>
      </c>
      <c r="F948" t="s">
        <v>7</v>
      </c>
      <c r="G948" t="s">
        <v>15</v>
      </c>
      <c r="H948" t="s">
        <v>15</v>
      </c>
      <c r="I948">
        <v>5.5</v>
      </c>
      <c r="J948" t="s">
        <v>11</v>
      </c>
    </row>
    <row r="949" spans="1:10" x14ac:dyDescent="0.25">
      <c r="A949" s="1">
        <v>1010</v>
      </c>
      <c r="B949" s="2">
        <v>42705.359027777777</v>
      </c>
      <c r="C949" s="2" t="str">
        <f t="shared" si="16"/>
        <v>12</v>
      </c>
      <c r="D949" s="2">
        <v>42705.370138888888</v>
      </c>
      <c r="E949" s="2" t="str">
        <f t="shared" si="16"/>
        <v>12</v>
      </c>
      <c r="F949" t="s">
        <v>7</v>
      </c>
      <c r="G949" t="s">
        <v>15</v>
      </c>
      <c r="H949" t="s">
        <v>15</v>
      </c>
      <c r="I949">
        <v>5.5</v>
      </c>
      <c r="J949" t="s">
        <v>10</v>
      </c>
    </row>
    <row r="950" spans="1:10" x14ac:dyDescent="0.25">
      <c r="A950" s="1">
        <v>1011</v>
      </c>
      <c r="B950" s="2">
        <v>42705.75</v>
      </c>
      <c r="C950" s="2" t="str">
        <f t="shared" si="16"/>
        <v>12</v>
      </c>
      <c r="D950" s="2">
        <v>42705.758333333331</v>
      </c>
      <c r="E950" s="2" t="str">
        <f t="shared" si="16"/>
        <v>12</v>
      </c>
      <c r="F950" t="s">
        <v>7</v>
      </c>
      <c r="G950" t="s">
        <v>15</v>
      </c>
      <c r="H950" t="s">
        <v>16</v>
      </c>
      <c r="I950">
        <v>2.9</v>
      </c>
      <c r="J950" t="s">
        <v>9</v>
      </c>
    </row>
    <row r="951" spans="1:10" x14ac:dyDescent="0.25">
      <c r="A951" s="1">
        <v>1012</v>
      </c>
      <c r="B951" s="2">
        <v>42705.85833333333</v>
      </c>
      <c r="C951" s="2" t="str">
        <f t="shared" si="16"/>
        <v>12</v>
      </c>
      <c r="D951" s="2">
        <v>42705.865277777782</v>
      </c>
      <c r="E951" s="2" t="str">
        <f t="shared" si="16"/>
        <v>12</v>
      </c>
      <c r="F951" t="s">
        <v>7</v>
      </c>
      <c r="G951" t="s">
        <v>16</v>
      </c>
      <c r="H951" t="s">
        <v>15</v>
      </c>
      <c r="I951">
        <v>2.9</v>
      </c>
      <c r="J951" t="s">
        <v>13</v>
      </c>
    </row>
    <row r="952" spans="1:10" x14ac:dyDescent="0.25">
      <c r="A952" s="1">
        <v>1013</v>
      </c>
      <c r="B952" s="2">
        <v>42706.508333333331</v>
      </c>
      <c r="C952" s="2" t="str">
        <f t="shared" si="16"/>
        <v>12</v>
      </c>
      <c r="D952" s="2">
        <v>42706.515972222223</v>
      </c>
      <c r="E952" s="2" t="str">
        <f t="shared" si="16"/>
        <v>12</v>
      </c>
      <c r="F952" t="s">
        <v>7</v>
      </c>
      <c r="G952" t="s">
        <v>15</v>
      </c>
      <c r="H952" t="s">
        <v>48</v>
      </c>
      <c r="I952">
        <v>5.0999999999999996</v>
      </c>
      <c r="J952" t="s">
        <v>9</v>
      </c>
    </row>
    <row r="953" spans="1:10" x14ac:dyDescent="0.25">
      <c r="A953" s="1">
        <v>1014</v>
      </c>
      <c r="B953" s="2">
        <v>42706.546527777777</v>
      </c>
      <c r="C953" s="2" t="str">
        <f t="shared" si="16"/>
        <v>12</v>
      </c>
      <c r="D953" s="2">
        <v>42706.556944444441</v>
      </c>
      <c r="E953" s="2" t="str">
        <f t="shared" si="16"/>
        <v>12</v>
      </c>
      <c r="F953" t="s">
        <v>7</v>
      </c>
      <c r="G953" t="s">
        <v>48</v>
      </c>
      <c r="H953" t="s">
        <v>15</v>
      </c>
      <c r="I953">
        <v>5.3</v>
      </c>
      <c r="J953" t="s">
        <v>13</v>
      </c>
    </row>
    <row r="954" spans="1:10" x14ac:dyDescent="0.25">
      <c r="A954" s="1">
        <v>1015</v>
      </c>
      <c r="B954" s="2">
        <v>42706.861805555563</v>
      </c>
      <c r="C954" s="2" t="str">
        <f t="shared" si="16"/>
        <v>12</v>
      </c>
      <c r="D954" s="2">
        <v>42706.866666666669</v>
      </c>
      <c r="E954" s="2" t="str">
        <f t="shared" si="16"/>
        <v>12</v>
      </c>
      <c r="F954" t="s">
        <v>7</v>
      </c>
      <c r="G954" t="s">
        <v>15</v>
      </c>
      <c r="H954" t="s">
        <v>16</v>
      </c>
      <c r="I954">
        <v>3.3</v>
      </c>
      <c r="J954" t="s">
        <v>9</v>
      </c>
    </row>
    <row r="955" spans="1:10" x14ac:dyDescent="0.25">
      <c r="A955" s="1">
        <v>1016</v>
      </c>
      <c r="B955" s="2">
        <v>42706.957638888889</v>
      </c>
      <c r="C955" s="2" t="str">
        <f t="shared" si="16"/>
        <v>12</v>
      </c>
      <c r="D955" s="2">
        <v>42706.963194444441</v>
      </c>
      <c r="E955" s="2" t="str">
        <f t="shared" si="16"/>
        <v>12</v>
      </c>
      <c r="F955" t="s">
        <v>7</v>
      </c>
      <c r="G955" t="s">
        <v>16</v>
      </c>
      <c r="H955" t="s">
        <v>15</v>
      </c>
      <c r="I955">
        <v>3</v>
      </c>
      <c r="J955" t="s">
        <v>13</v>
      </c>
    </row>
    <row r="956" spans="1:10" x14ac:dyDescent="0.25">
      <c r="A956" s="1">
        <v>1017</v>
      </c>
      <c r="B956" s="2">
        <v>42707.774305555547</v>
      </c>
      <c r="C956" s="2" t="str">
        <f t="shared" si="16"/>
        <v>12</v>
      </c>
      <c r="D956" s="2">
        <v>42707.788888888892</v>
      </c>
      <c r="E956" s="2" t="str">
        <f t="shared" si="16"/>
        <v>12</v>
      </c>
      <c r="F956" t="s">
        <v>7</v>
      </c>
      <c r="G956" t="s">
        <v>15</v>
      </c>
      <c r="H956" t="s">
        <v>220</v>
      </c>
      <c r="I956">
        <v>6.6</v>
      </c>
      <c r="J956" t="s">
        <v>10</v>
      </c>
    </row>
    <row r="957" spans="1:10" x14ac:dyDescent="0.25">
      <c r="A957" s="1">
        <v>1018</v>
      </c>
      <c r="B957" s="2">
        <v>42707.797222222223</v>
      </c>
      <c r="C957" s="2" t="str">
        <f t="shared" si="16"/>
        <v>12</v>
      </c>
      <c r="D957" s="2">
        <v>42707.802083333343</v>
      </c>
      <c r="E957" s="2" t="str">
        <f t="shared" si="16"/>
        <v>12</v>
      </c>
      <c r="F957" t="s">
        <v>7</v>
      </c>
      <c r="G957" t="s">
        <v>220</v>
      </c>
      <c r="H957" t="s">
        <v>16</v>
      </c>
      <c r="I957">
        <v>1.8</v>
      </c>
    </row>
    <row r="958" spans="1:10" x14ac:dyDescent="0.25">
      <c r="A958" s="1">
        <v>1019</v>
      </c>
      <c r="B958" s="2">
        <v>42707.854861111111</v>
      </c>
      <c r="C958" s="2" t="str">
        <f t="shared" si="16"/>
        <v>12</v>
      </c>
      <c r="D958" s="2">
        <v>42707.861805555563</v>
      </c>
      <c r="E958" s="2" t="str">
        <f t="shared" si="16"/>
        <v>12</v>
      </c>
      <c r="F958" t="s">
        <v>7</v>
      </c>
      <c r="G958" t="s">
        <v>16</v>
      </c>
      <c r="H958" t="s">
        <v>15</v>
      </c>
      <c r="I958">
        <v>3</v>
      </c>
      <c r="J958" t="s">
        <v>13</v>
      </c>
    </row>
    <row r="959" spans="1:10" x14ac:dyDescent="0.25">
      <c r="A959" s="1">
        <v>1020</v>
      </c>
      <c r="B959" s="2">
        <v>42708.788888888892</v>
      </c>
      <c r="C959" s="2" t="str">
        <f t="shared" si="16"/>
        <v>12</v>
      </c>
      <c r="D959" s="2">
        <v>42708.793749999997</v>
      </c>
      <c r="E959" s="2" t="str">
        <f t="shared" si="16"/>
        <v>12</v>
      </c>
      <c r="F959" t="s">
        <v>7</v>
      </c>
      <c r="G959" t="s">
        <v>15</v>
      </c>
      <c r="H959" t="s">
        <v>16</v>
      </c>
      <c r="I959">
        <v>2.9</v>
      </c>
      <c r="J959" t="s">
        <v>9</v>
      </c>
    </row>
    <row r="960" spans="1:10" x14ac:dyDescent="0.25">
      <c r="A960" s="1">
        <v>1021</v>
      </c>
      <c r="B960" s="2">
        <v>42708.849305555559</v>
      </c>
      <c r="C960" s="2" t="str">
        <f t="shared" si="16"/>
        <v>12</v>
      </c>
      <c r="D960" s="2">
        <v>42708.856944444437</v>
      </c>
      <c r="E960" s="2" t="str">
        <f t="shared" si="16"/>
        <v>12</v>
      </c>
      <c r="F960" t="s">
        <v>7</v>
      </c>
      <c r="G960" t="s">
        <v>16</v>
      </c>
      <c r="H960" t="s">
        <v>15</v>
      </c>
      <c r="I960">
        <v>3.4</v>
      </c>
      <c r="J960" t="s">
        <v>13</v>
      </c>
    </row>
    <row r="961" spans="1:10" x14ac:dyDescent="0.25">
      <c r="A961" s="1">
        <v>1022</v>
      </c>
      <c r="B961" s="2">
        <v>42709.75277777778</v>
      </c>
      <c r="C961" s="2" t="str">
        <f t="shared" si="16"/>
        <v>12</v>
      </c>
      <c r="D961" s="2">
        <v>42709.761805555558</v>
      </c>
      <c r="E961" s="2" t="str">
        <f t="shared" si="16"/>
        <v>12</v>
      </c>
      <c r="F961" t="s">
        <v>7</v>
      </c>
      <c r="G961" t="s">
        <v>15</v>
      </c>
      <c r="H961" t="s">
        <v>15</v>
      </c>
      <c r="I961">
        <v>4.0999999999999996</v>
      </c>
    </row>
    <row r="962" spans="1:10" x14ac:dyDescent="0.25">
      <c r="A962" s="1">
        <v>1023</v>
      </c>
      <c r="B962" s="2">
        <v>42709.806944444441</v>
      </c>
      <c r="C962" s="2" t="str">
        <f t="shared" si="16"/>
        <v>12</v>
      </c>
      <c r="D962" s="2">
        <v>42709.817361111112</v>
      </c>
      <c r="E962" s="2" t="str">
        <f t="shared" si="16"/>
        <v>12</v>
      </c>
      <c r="F962" t="s">
        <v>7</v>
      </c>
      <c r="G962" t="s">
        <v>15</v>
      </c>
      <c r="H962" t="s">
        <v>15</v>
      </c>
      <c r="I962">
        <v>3.8</v>
      </c>
      <c r="J962" t="s">
        <v>9</v>
      </c>
    </row>
    <row r="963" spans="1:10" x14ac:dyDescent="0.25">
      <c r="A963" s="1">
        <v>1024</v>
      </c>
      <c r="B963" s="2">
        <v>42711.502083333333</v>
      </c>
      <c r="C963" s="2" t="str">
        <f t="shared" ref="C963:E1026" si="17" xml:space="preserve"> TEXT(B963, "mm")</f>
        <v>12</v>
      </c>
      <c r="D963" s="2">
        <v>42711.522222222222</v>
      </c>
      <c r="E963" s="2" t="str">
        <f t="shared" si="17"/>
        <v>12</v>
      </c>
      <c r="F963" t="s">
        <v>7</v>
      </c>
      <c r="G963" t="s">
        <v>15</v>
      </c>
      <c r="H963" t="s">
        <v>15</v>
      </c>
      <c r="I963">
        <v>6.6</v>
      </c>
      <c r="J963" t="s">
        <v>11</v>
      </c>
    </row>
    <row r="964" spans="1:10" x14ac:dyDescent="0.25">
      <c r="A964" s="1">
        <v>1025</v>
      </c>
      <c r="B964" s="2">
        <v>42711.524305555547</v>
      </c>
      <c r="C964" s="2" t="str">
        <f t="shared" si="17"/>
        <v>12</v>
      </c>
      <c r="D964" s="2">
        <v>42711.531944444447</v>
      </c>
      <c r="E964" s="2" t="str">
        <f t="shared" si="17"/>
        <v>12</v>
      </c>
      <c r="F964" t="s">
        <v>7</v>
      </c>
      <c r="G964" t="s">
        <v>15</v>
      </c>
      <c r="H964" t="s">
        <v>15</v>
      </c>
      <c r="I964">
        <v>4</v>
      </c>
      <c r="J964" t="s">
        <v>11</v>
      </c>
    </row>
    <row r="965" spans="1:10" x14ac:dyDescent="0.25">
      <c r="A965" s="1">
        <v>1026</v>
      </c>
      <c r="B965" s="2">
        <v>42711.828472222223</v>
      </c>
      <c r="C965" s="2" t="str">
        <f t="shared" si="17"/>
        <v>12</v>
      </c>
      <c r="D965" s="2">
        <v>42711.842361111107</v>
      </c>
      <c r="E965" s="2" t="str">
        <f t="shared" si="17"/>
        <v>12</v>
      </c>
      <c r="F965" t="s">
        <v>7</v>
      </c>
      <c r="G965" t="s">
        <v>15</v>
      </c>
      <c r="H965" t="s">
        <v>15</v>
      </c>
      <c r="I965">
        <v>7</v>
      </c>
      <c r="J965" t="s">
        <v>13</v>
      </c>
    </row>
    <row r="966" spans="1:10" x14ac:dyDescent="0.25">
      <c r="A966" s="1">
        <v>1027</v>
      </c>
      <c r="B966" s="2">
        <v>42711.884027777778</v>
      </c>
      <c r="C966" s="2" t="str">
        <f t="shared" si="17"/>
        <v>12</v>
      </c>
      <c r="D966" s="2">
        <v>42711.909722222219</v>
      </c>
      <c r="E966" s="2" t="str">
        <f t="shared" si="17"/>
        <v>12</v>
      </c>
      <c r="F966" t="s">
        <v>7</v>
      </c>
      <c r="G966" t="s">
        <v>15</v>
      </c>
      <c r="H966" t="s">
        <v>15</v>
      </c>
      <c r="I966">
        <v>6.9</v>
      </c>
      <c r="J966" t="s">
        <v>9</v>
      </c>
    </row>
    <row r="967" spans="1:10" x14ac:dyDescent="0.25">
      <c r="A967" s="1">
        <v>1028</v>
      </c>
      <c r="B967" s="2">
        <v>42712.59652777778</v>
      </c>
      <c r="C967" s="2" t="str">
        <f t="shared" si="17"/>
        <v>12</v>
      </c>
      <c r="D967" s="2">
        <v>42712.605555555558</v>
      </c>
      <c r="E967" s="2" t="str">
        <f t="shared" si="17"/>
        <v>12</v>
      </c>
      <c r="F967" t="s">
        <v>7</v>
      </c>
      <c r="G967" t="s">
        <v>15</v>
      </c>
      <c r="H967" t="s">
        <v>15</v>
      </c>
      <c r="I967">
        <v>3.4</v>
      </c>
      <c r="J967" t="s">
        <v>10</v>
      </c>
    </row>
    <row r="968" spans="1:10" x14ac:dyDescent="0.25">
      <c r="A968" s="1">
        <v>1029</v>
      </c>
      <c r="B968" s="2">
        <v>42712.620138888888</v>
      </c>
      <c r="C968" s="2" t="str">
        <f t="shared" si="17"/>
        <v>12</v>
      </c>
      <c r="D968" s="2">
        <v>42712.626388888893</v>
      </c>
      <c r="E968" s="2" t="str">
        <f t="shared" si="17"/>
        <v>12</v>
      </c>
      <c r="F968" t="s">
        <v>7</v>
      </c>
      <c r="G968" t="s">
        <v>15</v>
      </c>
      <c r="H968" t="s">
        <v>15</v>
      </c>
      <c r="I968">
        <v>3.4</v>
      </c>
      <c r="J968" t="s">
        <v>10</v>
      </c>
    </row>
    <row r="969" spans="1:10" x14ac:dyDescent="0.25">
      <c r="A969" s="1">
        <v>1030</v>
      </c>
      <c r="B969" s="2">
        <v>42712.806944444441</v>
      </c>
      <c r="C969" s="2" t="str">
        <f t="shared" si="17"/>
        <v>12</v>
      </c>
      <c r="D969" s="2">
        <v>42712.810416666667</v>
      </c>
      <c r="E969" s="2" t="str">
        <f t="shared" si="17"/>
        <v>12</v>
      </c>
      <c r="F969" t="s">
        <v>7</v>
      </c>
      <c r="G969" t="s">
        <v>15</v>
      </c>
      <c r="H969" t="s">
        <v>15</v>
      </c>
      <c r="I969">
        <v>2</v>
      </c>
      <c r="J969" t="s">
        <v>11</v>
      </c>
    </row>
    <row r="970" spans="1:10" x14ac:dyDescent="0.25">
      <c r="A970" s="1">
        <v>1031</v>
      </c>
      <c r="B970" s="2">
        <v>42712.893055555563</v>
      </c>
      <c r="C970" s="2" t="str">
        <f t="shared" si="17"/>
        <v>12</v>
      </c>
      <c r="D970" s="2">
        <v>42712.896527777782</v>
      </c>
      <c r="E970" s="2" t="str">
        <f t="shared" si="17"/>
        <v>12</v>
      </c>
      <c r="F970" t="s">
        <v>7</v>
      </c>
      <c r="G970" t="s">
        <v>15</v>
      </c>
      <c r="H970" t="s">
        <v>15</v>
      </c>
      <c r="I970">
        <v>2</v>
      </c>
      <c r="J970" t="s">
        <v>10</v>
      </c>
    </row>
    <row r="971" spans="1:10" x14ac:dyDescent="0.25">
      <c r="A971" s="1">
        <v>1032</v>
      </c>
      <c r="B971" s="2">
        <v>42713.506249999999</v>
      </c>
      <c r="C971" s="2" t="str">
        <f t="shared" si="17"/>
        <v>12</v>
      </c>
      <c r="D971" s="2">
        <v>42713.51666666667</v>
      </c>
      <c r="E971" s="2" t="str">
        <f t="shared" si="17"/>
        <v>12</v>
      </c>
      <c r="F971" t="s">
        <v>7</v>
      </c>
      <c r="G971" t="s">
        <v>15</v>
      </c>
      <c r="H971" t="s">
        <v>48</v>
      </c>
      <c r="I971">
        <v>5.0999999999999996</v>
      </c>
      <c r="J971" t="s">
        <v>10</v>
      </c>
    </row>
    <row r="972" spans="1:10" x14ac:dyDescent="0.25">
      <c r="A972" s="1">
        <v>1033</v>
      </c>
      <c r="B972" s="2">
        <v>42713.552083333343</v>
      </c>
      <c r="C972" s="2" t="str">
        <f t="shared" si="17"/>
        <v>12</v>
      </c>
      <c r="D972" s="2">
        <v>42713.571527777778</v>
      </c>
      <c r="E972" s="2" t="str">
        <f t="shared" si="17"/>
        <v>12</v>
      </c>
      <c r="F972" t="s">
        <v>7</v>
      </c>
      <c r="G972" t="s">
        <v>48</v>
      </c>
      <c r="H972" t="s">
        <v>15</v>
      </c>
      <c r="I972">
        <v>8.8000000000000007</v>
      </c>
      <c r="J972" t="s">
        <v>24</v>
      </c>
    </row>
    <row r="973" spans="1:10" x14ac:dyDescent="0.25">
      <c r="A973" s="1">
        <v>1034</v>
      </c>
      <c r="B973" s="2">
        <v>42713.84097222222</v>
      </c>
      <c r="C973" s="2" t="str">
        <f t="shared" si="17"/>
        <v>12</v>
      </c>
      <c r="D973" s="2">
        <v>42713.856944444437</v>
      </c>
      <c r="E973" s="2" t="str">
        <f t="shared" si="17"/>
        <v>12</v>
      </c>
      <c r="F973" t="s">
        <v>7</v>
      </c>
      <c r="G973" t="s">
        <v>15</v>
      </c>
      <c r="H973" t="s">
        <v>15</v>
      </c>
      <c r="I973">
        <v>5.6</v>
      </c>
      <c r="J973" t="s">
        <v>11</v>
      </c>
    </row>
    <row r="974" spans="1:10" x14ac:dyDescent="0.25">
      <c r="A974" s="1">
        <v>1035</v>
      </c>
      <c r="B974" s="2">
        <v>42713.918749999997</v>
      </c>
      <c r="C974" s="2" t="str">
        <f t="shared" si="17"/>
        <v>12</v>
      </c>
      <c r="D974" s="2">
        <v>42713.956250000003</v>
      </c>
      <c r="E974" s="2" t="str">
        <f t="shared" si="17"/>
        <v>12</v>
      </c>
      <c r="F974" t="s">
        <v>7</v>
      </c>
      <c r="G974" t="s">
        <v>15</v>
      </c>
      <c r="H974" t="s">
        <v>15</v>
      </c>
      <c r="I974">
        <v>18.899999999999999</v>
      </c>
      <c r="J974" t="s">
        <v>13</v>
      </c>
    </row>
    <row r="975" spans="1:10" x14ac:dyDescent="0.25">
      <c r="A975" s="1">
        <v>1036</v>
      </c>
      <c r="B975" s="2">
        <v>42714.529861111107</v>
      </c>
      <c r="C975" s="2" t="str">
        <f t="shared" si="17"/>
        <v>12</v>
      </c>
      <c r="D975" s="2">
        <v>42714.552777777782</v>
      </c>
      <c r="E975" s="2" t="str">
        <f t="shared" si="17"/>
        <v>12</v>
      </c>
      <c r="F975" t="s">
        <v>7</v>
      </c>
      <c r="G975" t="s">
        <v>15</v>
      </c>
      <c r="H975" t="s">
        <v>221</v>
      </c>
      <c r="I975">
        <v>15.6</v>
      </c>
      <c r="J975" t="s">
        <v>11</v>
      </c>
    </row>
    <row r="976" spans="1:10" x14ac:dyDescent="0.25">
      <c r="A976" s="1">
        <v>1037</v>
      </c>
      <c r="B976" s="2">
        <v>42714.612500000003</v>
      </c>
      <c r="C976" s="2" t="str">
        <f t="shared" si="17"/>
        <v>12</v>
      </c>
      <c r="D976" s="2">
        <v>42714.637499999997</v>
      </c>
      <c r="E976" s="2" t="str">
        <f t="shared" si="17"/>
        <v>12</v>
      </c>
      <c r="F976" t="s">
        <v>7</v>
      </c>
      <c r="G976" t="s">
        <v>221</v>
      </c>
      <c r="H976" t="s">
        <v>15</v>
      </c>
      <c r="I976">
        <v>15.6</v>
      </c>
      <c r="J976" t="s">
        <v>10</v>
      </c>
    </row>
    <row r="977" spans="1:10" x14ac:dyDescent="0.25">
      <c r="A977" s="1">
        <v>1038</v>
      </c>
      <c r="B977" s="2">
        <v>42714.761805555558</v>
      </c>
      <c r="C977" s="2" t="str">
        <f t="shared" si="17"/>
        <v>12</v>
      </c>
      <c r="D977" s="2">
        <v>42714.768750000003</v>
      </c>
      <c r="E977" s="2" t="str">
        <f t="shared" si="17"/>
        <v>12</v>
      </c>
      <c r="F977" t="s">
        <v>7</v>
      </c>
      <c r="G977" t="s">
        <v>15</v>
      </c>
      <c r="H977" t="s">
        <v>16</v>
      </c>
      <c r="I977">
        <v>3</v>
      </c>
      <c r="J977" t="s">
        <v>9</v>
      </c>
    </row>
    <row r="978" spans="1:10" x14ac:dyDescent="0.25">
      <c r="A978" s="1">
        <v>1039</v>
      </c>
      <c r="B978" s="2">
        <v>42714.92291666667</v>
      </c>
      <c r="C978" s="2" t="str">
        <f t="shared" si="17"/>
        <v>12</v>
      </c>
      <c r="D978" s="2">
        <v>42714.931250000001</v>
      </c>
      <c r="E978" s="2" t="str">
        <f t="shared" si="17"/>
        <v>12</v>
      </c>
      <c r="F978" t="s">
        <v>7</v>
      </c>
      <c r="G978" t="s">
        <v>16</v>
      </c>
      <c r="H978" t="s">
        <v>15</v>
      </c>
      <c r="I978">
        <v>3.1</v>
      </c>
      <c r="J978" t="s">
        <v>13</v>
      </c>
    </row>
    <row r="979" spans="1:10" x14ac:dyDescent="0.25">
      <c r="A979" s="1">
        <v>1040</v>
      </c>
      <c r="B979" s="2">
        <v>42715.67083333333</v>
      </c>
      <c r="C979" s="2" t="str">
        <f t="shared" si="17"/>
        <v>12</v>
      </c>
      <c r="D979" s="2">
        <v>42715.677777777782</v>
      </c>
      <c r="E979" s="2" t="str">
        <f t="shared" si="17"/>
        <v>12</v>
      </c>
      <c r="F979" t="s">
        <v>7</v>
      </c>
      <c r="G979" t="s">
        <v>15</v>
      </c>
      <c r="H979" t="s">
        <v>16</v>
      </c>
      <c r="I979">
        <v>3</v>
      </c>
      <c r="J979" t="s">
        <v>9</v>
      </c>
    </row>
    <row r="980" spans="1:10" x14ac:dyDescent="0.25">
      <c r="A980" s="1">
        <v>1041</v>
      </c>
      <c r="B980" s="2">
        <v>42715.795138888891</v>
      </c>
      <c r="C980" s="2" t="str">
        <f t="shared" si="17"/>
        <v>12</v>
      </c>
      <c r="D980" s="2">
        <v>42715.802083333343</v>
      </c>
      <c r="E980" s="2" t="str">
        <f t="shared" si="17"/>
        <v>12</v>
      </c>
      <c r="F980" t="s">
        <v>7</v>
      </c>
      <c r="G980" t="s">
        <v>16</v>
      </c>
      <c r="H980" t="s">
        <v>15</v>
      </c>
      <c r="I980">
        <v>4.8</v>
      </c>
      <c r="J980" t="s">
        <v>10</v>
      </c>
    </row>
    <row r="981" spans="1:10" x14ac:dyDescent="0.25">
      <c r="A981" s="1">
        <v>1042</v>
      </c>
      <c r="B981" s="2">
        <v>42715.908333333333</v>
      </c>
      <c r="C981" s="2" t="str">
        <f t="shared" si="17"/>
        <v>12</v>
      </c>
      <c r="D981" s="2">
        <v>42715.913888888892</v>
      </c>
      <c r="E981" s="2" t="str">
        <f t="shared" si="17"/>
        <v>12</v>
      </c>
      <c r="F981" t="s">
        <v>7</v>
      </c>
      <c r="G981" t="s">
        <v>15</v>
      </c>
      <c r="H981" t="s">
        <v>15</v>
      </c>
      <c r="I981">
        <v>2.1</v>
      </c>
      <c r="J981" t="s">
        <v>10</v>
      </c>
    </row>
    <row r="982" spans="1:10" x14ac:dyDescent="0.25">
      <c r="A982" s="1">
        <v>1043</v>
      </c>
      <c r="B982" s="2">
        <v>42716.556944444441</v>
      </c>
      <c r="C982" s="2" t="str">
        <f t="shared" si="17"/>
        <v>12</v>
      </c>
      <c r="D982" s="2">
        <v>42716.563888888893</v>
      </c>
      <c r="E982" s="2" t="str">
        <f t="shared" si="17"/>
        <v>12</v>
      </c>
      <c r="F982" t="s">
        <v>7</v>
      </c>
      <c r="G982" t="s">
        <v>15</v>
      </c>
      <c r="H982" t="s">
        <v>15</v>
      </c>
      <c r="I982">
        <v>3.1</v>
      </c>
      <c r="J982" t="s">
        <v>10</v>
      </c>
    </row>
    <row r="983" spans="1:10" x14ac:dyDescent="0.25">
      <c r="A983" s="1">
        <v>1044</v>
      </c>
      <c r="B983" s="2">
        <v>42716.566666666673</v>
      </c>
      <c r="C983" s="2" t="str">
        <f t="shared" si="17"/>
        <v>12</v>
      </c>
      <c r="D983" s="2">
        <v>42716.57708333333</v>
      </c>
      <c r="E983" s="2" t="str">
        <f t="shared" si="17"/>
        <v>12</v>
      </c>
      <c r="F983" t="s">
        <v>7</v>
      </c>
      <c r="G983" t="s">
        <v>15</v>
      </c>
      <c r="H983" t="s">
        <v>48</v>
      </c>
      <c r="I983">
        <v>4.4000000000000004</v>
      </c>
      <c r="J983" t="s">
        <v>9</v>
      </c>
    </row>
    <row r="984" spans="1:10" x14ac:dyDescent="0.25">
      <c r="A984" s="1">
        <v>1045</v>
      </c>
      <c r="B984" s="2">
        <v>42716.601388888892</v>
      </c>
      <c r="C984" s="2" t="str">
        <f t="shared" si="17"/>
        <v>12</v>
      </c>
      <c r="D984" s="2">
        <v>42716.61041666667</v>
      </c>
      <c r="E984" s="2" t="str">
        <f t="shared" si="17"/>
        <v>12</v>
      </c>
      <c r="F984" t="s">
        <v>7</v>
      </c>
      <c r="G984" t="s">
        <v>48</v>
      </c>
      <c r="H984" t="s">
        <v>15</v>
      </c>
      <c r="I984">
        <v>4.7</v>
      </c>
      <c r="J984" t="s">
        <v>13</v>
      </c>
    </row>
    <row r="985" spans="1:10" x14ac:dyDescent="0.25">
      <c r="A985" s="1">
        <v>1046</v>
      </c>
      <c r="B985" s="2">
        <v>42716.743750000001</v>
      </c>
      <c r="C985" s="2" t="str">
        <f t="shared" si="17"/>
        <v>12</v>
      </c>
      <c r="D985" s="2">
        <v>42716.750694444447</v>
      </c>
      <c r="E985" s="2" t="str">
        <f t="shared" si="17"/>
        <v>12</v>
      </c>
      <c r="F985" t="s">
        <v>7</v>
      </c>
      <c r="G985" t="s">
        <v>15</v>
      </c>
      <c r="H985" t="s">
        <v>16</v>
      </c>
      <c r="I985">
        <v>3</v>
      </c>
      <c r="J985" t="s">
        <v>9</v>
      </c>
    </row>
    <row r="986" spans="1:10" x14ac:dyDescent="0.25">
      <c r="A986" s="1">
        <v>1047</v>
      </c>
      <c r="B986" s="2">
        <v>42716.866666666669</v>
      </c>
      <c r="C986" s="2" t="str">
        <f t="shared" si="17"/>
        <v>12</v>
      </c>
      <c r="D986" s="2">
        <v>42716.872916666667</v>
      </c>
      <c r="E986" s="2" t="str">
        <f t="shared" si="17"/>
        <v>12</v>
      </c>
      <c r="F986" t="s">
        <v>7</v>
      </c>
      <c r="G986" t="s">
        <v>16</v>
      </c>
      <c r="H986" t="s">
        <v>15</v>
      </c>
      <c r="I986">
        <v>3</v>
      </c>
      <c r="J986" t="s">
        <v>13</v>
      </c>
    </row>
    <row r="987" spans="1:10" x14ac:dyDescent="0.25">
      <c r="A987" s="1">
        <v>1048</v>
      </c>
      <c r="B987" s="2">
        <v>42717.763194444437</v>
      </c>
      <c r="C987" s="2" t="str">
        <f t="shared" si="17"/>
        <v>12</v>
      </c>
      <c r="D987" s="2">
        <v>42717.770138888889</v>
      </c>
      <c r="E987" s="2" t="str">
        <f t="shared" si="17"/>
        <v>12</v>
      </c>
      <c r="F987" t="s">
        <v>7</v>
      </c>
      <c r="G987" t="s">
        <v>15</v>
      </c>
      <c r="H987" t="s">
        <v>15</v>
      </c>
      <c r="I987">
        <v>4.2</v>
      </c>
      <c r="J987" t="s">
        <v>10</v>
      </c>
    </row>
    <row r="988" spans="1:10" x14ac:dyDescent="0.25">
      <c r="A988" s="1">
        <v>1049</v>
      </c>
      <c r="B988" s="2">
        <v>42717.847222222219</v>
      </c>
      <c r="C988" s="2" t="str">
        <f t="shared" si="17"/>
        <v>12</v>
      </c>
      <c r="D988" s="2">
        <v>42717.853472222218</v>
      </c>
      <c r="E988" s="2" t="str">
        <f t="shared" si="17"/>
        <v>12</v>
      </c>
      <c r="F988" t="s">
        <v>7</v>
      </c>
      <c r="G988" t="s">
        <v>15</v>
      </c>
      <c r="H988" t="s">
        <v>15</v>
      </c>
      <c r="I988">
        <v>4.0999999999999996</v>
      </c>
      <c r="J988" t="s">
        <v>9</v>
      </c>
    </row>
    <row r="989" spans="1:10" x14ac:dyDescent="0.25">
      <c r="A989" s="1">
        <v>1050</v>
      </c>
      <c r="B989" s="2">
        <v>42718.702777777777</v>
      </c>
      <c r="C989" s="2" t="str">
        <f t="shared" si="17"/>
        <v>12</v>
      </c>
      <c r="D989" s="2">
        <v>42718.715277777781</v>
      </c>
      <c r="E989" s="2" t="str">
        <f t="shared" si="17"/>
        <v>12</v>
      </c>
      <c r="F989" t="s">
        <v>7</v>
      </c>
      <c r="G989" t="s">
        <v>15</v>
      </c>
      <c r="H989" t="s">
        <v>15</v>
      </c>
      <c r="I989">
        <v>3.4</v>
      </c>
    </row>
    <row r="990" spans="1:10" x14ac:dyDescent="0.25">
      <c r="A990" s="1">
        <v>1051</v>
      </c>
      <c r="B990" s="2">
        <v>42718.723611111112</v>
      </c>
      <c r="C990" s="2" t="str">
        <f t="shared" si="17"/>
        <v>12</v>
      </c>
      <c r="D990" s="2">
        <v>42718.731944444437</v>
      </c>
      <c r="E990" s="2" t="str">
        <f t="shared" si="17"/>
        <v>12</v>
      </c>
      <c r="F990" t="s">
        <v>7</v>
      </c>
      <c r="G990" t="s">
        <v>15</v>
      </c>
      <c r="H990" t="s">
        <v>15</v>
      </c>
      <c r="I990">
        <v>3.3</v>
      </c>
    </row>
    <row r="991" spans="1:10" x14ac:dyDescent="0.25">
      <c r="A991" s="1">
        <v>1052</v>
      </c>
      <c r="B991" s="2">
        <v>42718.743055555547</v>
      </c>
      <c r="C991" s="2" t="str">
        <f t="shared" si="17"/>
        <v>12</v>
      </c>
      <c r="D991" s="2">
        <v>42718.75</v>
      </c>
      <c r="E991" s="2" t="str">
        <f t="shared" si="17"/>
        <v>12</v>
      </c>
      <c r="F991" t="s">
        <v>7</v>
      </c>
      <c r="G991" t="s">
        <v>15</v>
      </c>
      <c r="H991" t="s">
        <v>16</v>
      </c>
      <c r="I991">
        <v>3</v>
      </c>
      <c r="J991" t="s">
        <v>9</v>
      </c>
    </row>
    <row r="992" spans="1:10" x14ac:dyDescent="0.25">
      <c r="A992" s="1">
        <v>1053</v>
      </c>
      <c r="B992" s="2">
        <v>42718.85</v>
      </c>
      <c r="C992" s="2" t="str">
        <f t="shared" si="17"/>
        <v>12</v>
      </c>
      <c r="D992" s="2">
        <v>42718.861111111109</v>
      </c>
      <c r="E992" s="2" t="str">
        <f t="shared" si="17"/>
        <v>12</v>
      </c>
      <c r="F992" t="s">
        <v>7</v>
      </c>
      <c r="G992" t="s">
        <v>16</v>
      </c>
      <c r="H992" t="s">
        <v>15</v>
      </c>
      <c r="I992">
        <v>3.1</v>
      </c>
      <c r="J992" t="s">
        <v>13</v>
      </c>
    </row>
    <row r="993" spans="1:10" x14ac:dyDescent="0.25">
      <c r="A993" s="1">
        <v>1054</v>
      </c>
      <c r="B993" s="2">
        <v>42719.597222222219</v>
      </c>
      <c r="C993" s="2" t="str">
        <f t="shared" si="17"/>
        <v>12</v>
      </c>
      <c r="D993" s="2">
        <v>42719.620833333327</v>
      </c>
      <c r="E993" s="2" t="str">
        <f t="shared" si="17"/>
        <v>12</v>
      </c>
      <c r="F993" t="s">
        <v>7</v>
      </c>
      <c r="G993" t="s">
        <v>15</v>
      </c>
      <c r="H993" t="s">
        <v>16</v>
      </c>
      <c r="I993">
        <v>10.6</v>
      </c>
      <c r="J993" t="s">
        <v>11</v>
      </c>
    </row>
    <row r="994" spans="1:10" x14ac:dyDescent="0.25">
      <c r="A994" s="1">
        <v>1060</v>
      </c>
      <c r="B994" s="2">
        <v>42723.380555555559</v>
      </c>
      <c r="C994" s="2" t="str">
        <f t="shared" si="17"/>
        <v>12</v>
      </c>
      <c r="D994" s="2">
        <v>42723.4</v>
      </c>
      <c r="E994" s="2" t="str">
        <f t="shared" si="17"/>
        <v>12</v>
      </c>
      <c r="F994" t="s">
        <v>7</v>
      </c>
      <c r="G994" t="s">
        <v>65</v>
      </c>
      <c r="H994" t="s">
        <v>68</v>
      </c>
      <c r="I994">
        <v>7.7</v>
      </c>
      <c r="J994" t="s">
        <v>10</v>
      </c>
    </row>
    <row r="995" spans="1:10" x14ac:dyDescent="0.25">
      <c r="A995" s="1">
        <v>1061</v>
      </c>
      <c r="B995" s="2">
        <v>42723.427083333343</v>
      </c>
      <c r="C995" s="2" t="str">
        <f t="shared" si="17"/>
        <v>12</v>
      </c>
      <c r="D995" s="2">
        <v>42723.44027777778</v>
      </c>
      <c r="E995" s="2" t="str">
        <f t="shared" si="17"/>
        <v>12</v>
      </c>
      <c r="F995" t="s">
        <v>7</v>
      </c>
      <c r="G995" t="s">
        <v>68</v>
      </c>
      <c r="H995" t="s">
        <v>222</v>
      </c>
      <c r="I995">
        <v>5.9</v>
      </c>
      <c r="J995" t="s">
        <v>24</v>
      </c>
    </row>
    <row r="996" spans="1:10" x14ac:dyDescent="0.25">
      <c r="A996" s="1">
        <v>1062</v>
      </c>
      <c r="B996" s="2">
        <v>42723.544444444437</v>
      </c>
      <c r="C996" s="2" t="str">
        <f t="shared" si="17"/>
        <v>12</v>
      </c>
      <c r="D996" s="2">
        <v>42723.547222222223</v>
      </c>
      <c r="E996" s="2" t="str">
        <f t="shared" si="17"/>
        <v>12</v>
      </c>
      <c r="F996" t="s">
        <v>7</v>
      </c>
      <c r="G996" t="s">
        <v>222</v>
      </c>
      <c r="H996" t="s">
        <v>65</v>
      </c>
      <c r="I996">
        <v>0.7</v>
      </c>
      <c r="J996" t="s">
        <v>10</v>
      </c>
    </row>
    <row r="997" spans="1:10" x14ac:dyDescent="0.25">
      <c r="A997" s="1">
        <v>1067</v>
      </c>
      <c r="B997" s="2">
        <v>42723.631249999999</v>
      </c>
      <c r="C997" s="2" t="str">
        <f t="shared" si="17"/>
        <v>12</v>
      </c>
      <c r="D997" s="2">
        <v>42723.651388888888</v>
      </c>
      <c r="E997" s="2" t="str">
        <f t="shared" si="17"/>
        <v>12</v>
      </c>
      <c r="F997" t="s">
        <v>7</v>
      </c>
      <c r="G997" t="s">
        <v>65</v>
      </c>
      <c r="H997" t="s">
        <v>222</v>
      </c>
      <c r="I997">
        <v>10.199999999999999</v>
      </c>
      <c r="J997" t="s">
        <v>13</v>
      </c>
    </row>
    <row r="998" spans="1:10" x14ac:dyDescent="0.25">
      <c r="A998" s="1">
        <v>1068</v>
      </c>
      <c r="B998" s="2">
        <v>42723.701388888891</v>
      </c>
      <c r="C998" s="2" t="str">
        <f t="shared" si="17"/>
        <v>12</v>
      </c>
      <c r="D998" s="2">
        <v>42723.714583333327</v>
      </c>
      <c r="E998" s="2" t="str">
        <f t="shared" si="17"/>
        <v>12</v>
      </c>
      <c r="F998" t="s">
        <v>7</v>
      </c>
      <c r="G998" t="s">
        <v>222</v>
      </c>
      <c r="H998" t="s">
        <v>68</v>
      </c>
      <c r="I998">
        <v>7.2</v>
      </c>
      <c r="J998" t="s">
        <v>13</v>
      </c>
    </row>
    <row r="999" spans="1:10" x14ac:dyDescent="0.25">
      <c r="A999" s="1">
        <v>1069</v>
      </c>
      <c r="B999" s="2">
        <v>42723.795138888891</v>
      </c>
      <c r="C999" s="2" t="str">
        <f t="shared" si="17"/>
        <v>12</v>
      </c>
      <c r="D999" s="2">
        <v>42723.803472222222</v>
      </c>
      <c r="E999" s="2" t="str">
        <f t="shared" si="17"/>
        <v>12</v>
      </c>
      <c r="F999" t="s">
        <v>7</v>
      </c>
      <c r="G999" t="s">
        <v>68</v>
      </c>
      <c r="H999" t="s">
        <v>65</v>
      </c>
      <c r="I999">
        <v>2.2000000000000002</v>
      </c>
    </row>
    <row r="1000" spans="1:10" x14ac:dyDescent="0.25">
      <c r="A1000" s="1">
        <v>1071</v>
      </c>
      <c r="B1000" s="2">
        <v>42724.367361111108</v>
      </c>
      <c r="C1000" s="2" t="str">
        <f t="shared" si="17"/>
        <v>12</v>
      </c>
      <c r="D1000" s="2">
        <v>42724.39166666667</v>
      </c>
      <c r="E1000" s="2" t="str">
        <f t="shared" si="17"/>
        <v>12</v>
      </c>
      <c r="F1000" t="s">
        <v>7</v>
      </c>
      <c r="G1000" t="s">
        <v>65</v>
      </c>
      <c r="H1000" t="s">
        <v>222</v>
      </c>
      <c r="I1000">
        <v>12</v>
      </c>
    </row>
    <row r="1001" spans="1:10" x14ac:dyDescent="0.25">
      <c r="A1001" s="1">
        <v>1072</v>
      </c>
      <c r="B1001" s="2">
        <v>42724.4375</v>
      </c>
      <c r="C1001" s="2" t="str">
        <f t="shared" si="17"/>
        <v>12</v>
      </c>
      <c r="D1001" s="2">
        <v>42724.45</v>
      </c>
      <c r="E1001" s="2" t="str">
        <f t="shared" si="17"/>
        <v>12</v>
      </c>
      <c r="F1001" t="s">
        <v>7</v>
      </c>
      <c r="G1001" t="s">
        <v>222</v>
      </c>
      <c r="H1001" t="s">
        <v>222</v>
      </c>
      <c r="I1001">
        <v>3.3</v>
      </c>
      <c r="J1001" t="s">
        <v>10</v>
      </c>
    </row>
    <row r="1002" spans="1:10" x14ac:dyDescent="0.25">
      <c r="A1002" s="1">
        <v>1073</v>
      </c>
      <c r="B1002" s="2">
        <v>42724.479166666657</v>
      </c>
      <c r="C1002" s="2" t="str">
        <f t="shared" si="17"/>
        <v>12</v>
      </c>
      <c r="D1002" s="2">
        <v>42724.511805555558</v>
      </c>
      <c r="E1002" s="2" t="str">
        <f t="shared" si="17"/>
        <v>12</v>
      </c>
      <c r="F1002" t="s">
        <v>7</v>
      </c>
      <c r="G1002" t="s">
        <v>222</v>
      </c>
      <c r="H1002" t="s">
        <v>65</v>
      </c>
      <c r="I1002">
        <v>19.399999999999999</v>
      </c>
      <c r="J1002" t="s">
        <v>11</v>
      </c>
    </row>
    <row r="1003" spans="1:10" x14ac:dyDescent="0.25">
      <c r="A1003" s="1">
        <v>1075</v>
      </c>
      <c r="B1003" s="2">
        <v>42724.57916666667</v>
      </c>
      <c r="C1003" s="2" t="str">
        <f t="shared" si="17"/>
        <v>12</v>
      </c>
      <c r="D1003" s="2">
        <v>42724.595138888893</v>
      </c>
      <c r="E1003" s="2" t="str">
        <f t="shared" si="17"/>
        <v>12</v>
      </c>
      <c r="F1003" t="s">
        <v>7</v>
      </c>
      <c r="G1003" t="s">
        <v>65</v>
      </c>
      <c r="H1003" t="s">
        <v>68</v>
      </c>
      <c r="I1003">
        <v>5.7</v>
      </c>
      <c r="J1003" t="s">
        <v>24</v>
      </c>
    </row>
    <row r="1004" spans="1:10" x14ac:dyDescent="0.25">
      <c r="A1004" s="1">
        <v>1076</v>
      </c>
      <c r="B1004" s="2">
        <v>42724.676388888889</v>
      </c>
      <c r="C1004" s="2" t="str">
        <f t="shared" si="17"/>
        <v>12</v>
      </c>
      <c r="D1004" s="2">
        <v>42724.683333333327</v>
      </c>
      <c r="E1004" s="2" t="str">
        <f t="shared" si="17"/>
        <v>12</v>
      </c>
      <c r="F1004" t="s">
        <v>7</v>
      </c>
      <c r="G1004" t="s">
        <v>68</v>
      </c>
      <c r="H1004" t="s">
        <v>68</v>
      </c>
      <c r="I1004">
        <v>1.8</v>
      </c>
      <c r="J1004" t="s">
        <v>10</v>
      </c>
    </row>
    <row r="1005" spans="1:10" x14ac:dyDescent="0.25">
      <c r="A1005" s="1">
        <v>1077</v>
      </c>
      <c r="B1005" s="2">
        <v>42724.705555555563</v>
      </c>
      <c r="C1005" s="2" t="str">
        <f t="shared" si="17"/>
        <v>12</v>
      </c>
      <c r="D1005" s="2">
        <v>42724.713194444441</v>
      </c>
      <c r="E1005" s="2" t="str">
        <f t="shared" si="17"/>
        <v>12</v>
      </c>
      <c r="F1005" t="s">
        <v>7</v>
      </c>
      <c r="G1005" t="s">
        <v>68</v>
      </c>
      <c r="H1005" t="s">
        <v>68</v>
      </c>
      <c r="I1005">
        <v>1.4</v>
      </c>
      <c r="J1005" t="s">
        <v>10</v>
      </c>
    </row>
    <row r="1006" spans="1:10" x14ac:dyDescent="0.25">
      <c r="A1006" s="1">
        <v>1078</v>
      </c>
      <c r="B1006" s="2">
        <v>42724.782638888893</v>
      </c>
      <c r="C1006" s="2" t="str">
        <f t="shared" si="17"/>
        <v>12</v>
      </c>
      <c r="D1006" s="2">
        <v>42724.806250000001</v>
      </c>
      <c r="E1006" s="2" t="str">
        <f t="shared" si="17"/>
        <v>12</v>
      </c>
      <c r="F1006" t="s">
        <v>7</v>
      </c>
      <c r="G1006" t="s">
        <v>68</v>
      </c>
      <c r="H1006" t="s">
        <v>65</v>
      </c>
      <c r="I1006">
        <v>10.3</v>
      </c>
      <c r="J1006" t="s">
        <v>13</v>
      </c>
    </row>
    <row r="1007" spans="1:10" x14ac:dyDescent="0.25">
      <c r="A1007" s="1">
        <v>1080</v>
      </c>
      <c r="B1007" s="2">
        <v>42725.426388888889</v>
      </c>
      <c r="C1007" s="2" t="str">
        <f t="shared" si="17"/>
        <v>12</v>
      </c>
      <c r="D1007" s="2">
        <v>42725.4375</v>
      </c>
      <c r="E1007" s="2" t="str">
        <f t="shared" si="17"/>
        <v>12</v>
      </c>
      <c r="F1007" t="s">
        <v>7</v>
      </c>
      <c r="G1007" t="s">
        <v>65</v>
      </c>
      <c r="H1007" t="s">
        <v>68</v>
      </c>
      <c r="I1007">
        <v>4.9000000000000004</v>
      </c>
      <c r="J1007" t="s">
        <v>10</v>
      </c>
    </row>
    <row r="1008" spans="1:10" x14ac:dyDescent="0.25">
      <c r="A1008" s="1">
        <v>1081</v>
      </c>
      <c r="B1008" s="2">
        <v>42725.482638888891</v>
      </c>
      <c r="C1008" s="2" t="str">
        <f t="shared" si="17"/>
        <v>12</v>
      </c>
      <c r="D1008" s="2">
        <v>42725.492361111108</v>
      </c>
      <c r="E1008" s="2" t="str">
        <f t="shared" si="17"/>
        <v>12</v>
      </c>
      <c r="F1008" t="s">
        <v>7</v>
      </c>
      <c r="G1008" t="s">
        <v>68</v>
      </c>
      <c r="H1008" t="s">
        <v>65</v>
      </c>
      <c r="I1008">
        <v>3.5</v>
      </c>
      <c r="J1008" t="s">
        <v>9</v>
      </c>
    </row>
    <row r="1009" spans="1:10" x14ac:dyDescent="0.25">
      <c r="A1009" s="1">
        <v>1084</v>
      </c>
      <c r="B1009" s="2">
        <v>42725.663194444453</v>
      </c>
      <c r="C1009" s="2" t="str">
        <f t="shared" si="17"/>
        <v>12</v>
      </c>
      <c r="D1009" s="2">
        <v>42725.670138888891</v>
      </c>
      <c r="E1009" s="2" t="str">
        <f t="shared" si="17"/>
        <v>12</v>
      </c>
      <c r="F1009" t="s">
        <v>7</v>
      </c>
      <c r="G1009" t="s">
        <v>65</v>
      </c>
      <c r="H1009" t="s">
        <v>68</v>
      </c>
      <c r="I1009">
        <v>2.1</v>
      </c>
      <c r="J1009" t="s">
        <v>10</v>
      </c>
    </row>
    <row r="1010" spans="1:10" x14ac:dyDescent="0.25">
      <c r="A1010" s="1">
        <v>1085</v>
      </c>
      <c r="B1010" s="2">
        <v>42725.739583333343</v>
      </c>
      <c r="C1010" s="2" t="str">
        <f t="shared" si="17"/>
        <v>12</v>
      </c>
      <c r="D1010" s="2">
        <v>42725.745833333327</v>
      </c>
      <c r="E1010" s="2" t="str">
        <f t="shared" si="17"/>
        <v>12</v>
      </c>
      <c r="F1010" t="s">
        <v>7</v>
      </c>
      <c r="G1010" t="s">
        <v>68</v>
      </c>
      <c r="H1010" t="s">
        <v>68</v>
      </c>
      <c r="I1010">
        <v>2.1</v>
      </c>
      <c r="J1010" t="s">
        <v>11</v>
      </c>
    </row>
    <row r="1011" spans="1:10" x14ac:dyDescent="0.25">
      <c r="A1011" s="1">
        <v>1086</v>
      </c>
      <c r="B1011" s="2">
        <v>42725.749305555553</v>
      </c>
      <c r="C1011" s="2" t="str">
        <f t="shared" si="17"/>
        <v>12</v>
      </c>
      <c r="D1011" s="2">
        <v>42725.771527777782</v>
      </c>
      <c r="E1011" s="2" t="str">
        <f t="shared" si="17"/>
        <v>12</v>
      </c>
      <c r="F1011" t="s">
        <v>7</v>
      </c>
      <c r="G1011" t="s">
        <v>68</v>
      </c>
      <c r="H1011" t="s">
        <v>65</v>
      </c>
      <c r="I1011">
        <v>7.2</v>
      </c>
      <c r="J1011" t="s">
        <v>13</v>
      </c>
    </row>
    <row r="1012" spans="1:10" x14ac:dyDescent="0.25">
      <c r="A1012" s="1">
        <v>1087</v>
      </c>
      <c r="B1012" s="2">
        <v>42725.825694444437</v>
      </c>
      <c r="C1012" s="2" t="str">
        <f t="shared" si="17"/>
        <v>12</v>
      </c>
      <c r="D1012" s="2">
        <v>42725.857638888891</v>
      </c>
      <c r="E1012" s="2" t="str">
        <f t="shared" si="17"/>
        <v>12</v>
      </c>
      <c r="F1012" t="s">
        <v>7</v>
      </c>
      <c r="G1012" t="s">
        <v>65</v>
      </c>
      <c r="H1012" t="s">
        <v>222</v>
      </c>
      <c r="I1012">
        <v>12</v>
      </c>
      <c r="J1012" t="s">
        <v>11</v>
      </c>
    </row>
    <row r="1013" spans="1:10" x14ac:dyDescent="0.25">
      <c r="A1013" s="1">
        <v>1088</v>
      </c>
      <c r="B1013" s="2">
        <v>42725.87222222222</v>
      </c>
      <c r="C1013" s="2" t="str">
        <f t="shared" si="17"/>
        <v>12</v>
      </c>
      <c r="D1013" s="2">
        <v>42725.987500000003</v>
      </c>
      <c r="E1013" s="2" t="str">
        <f t="shared" si="17"/>
        <v>12</v>
      </c>
      <c r="F1013" t="s">
        <v>7</v>
      </c>
      <c r="G1013" t="s">
        <v>222</v>
      </c>
      <c r="H1013" t="s">
        <v>65</v>
      </c>
      <c r="I1013">
        <v>103</v>
      </c>
      <c r="J1013" t="s">
        <v>11</v>
      </c>
    </row>
    <row r="1014" spans="1:10" x14ac:dyDescent="0.25">
      <c r="A1014" s="1">
        <v>1095</v>
      </c>
      <c r="B1014" s="2">
        <v>42726.794444444437</v>
      </c>
      <c r="C1014" s="2" t="str">
        <f t="shared" si="17"/>
        <v>12</v>
      </c>
      <c r="D1014" s="2">
        <v>42726.826388888891</v>
      </c>
      <c r="E1014" s="2" t="str">
        <f t="shared" si="17"/>
        <v>12</v>
      </c>
      <c r="F1014" t="s">
        <v>7</v>
      </c>
      <c r="G1014" t="s">
        <v>65</v>
      </c>
      <c r="H1014" t="s">
        <v>187</v>
      </c>
      <c r="I1014">
        <v>14</v>
      </c>
      <c r="J1014" t="s">
        <v>11</v>
      </c>
    </row>
    <row r="1015" spans="1:10" x14ac:dyDescent="0.25">
      <c r="A1015" s="1">
        <v>1096</v>
      </c>
      <c r="B1015" s="2">
        <v>42726.90347222222</v>
      </c>
      <c r="C1015" s="2" t="str">
        <f t="shared" si="17"/>
        <v>12</v>
      </c>
      <c r="D1015" s="2">
        <v>42726.911805555559</v>
      </c>
      <c r="E1015" s="2" t="str">
        <f t="shared" si="17"/>
        <v>12</v>
      </c>
      <c r="F1015" t="s">
        <v>7</v>
      </c>
      <c r="G1015" t="s">
        <v>187</v>
      </c>
      <c r="H1015" t="s">
        <v>187</v>
      </c>
      <c r="I1015">
        <v>2.1</v>
      </c>
      <c r="J1015" t="s">
        <v>9</v>
      </c>
    </row>
    <row r="1016" spans="1:10" x14ac:dyDescent="0.25">
      <c r="A1016" s="1">
        <v>1097</v>
      </c>
      <c r="B1016" s="2">
        <v>42726.977083333331</v>
      </c>
      <c r="C1016" s="2" t="str">
        <f t="shared" si="17"/>
        <v>12</v>
      </c>
      <c r="D1016" s="2">
        <v>42726.980555555558</v>
      </c>
      <c r="E1016" s="2" t="str">
        <f t="shared" si="17"/>
        <v>12</v>
      </c>
      <c r="F1016" t="s">
        <v>7</v>
      </c>
      <c r="G1016" t="s">
        <v>187</v>
      </c>
      <c r="H1016" t="s">
        <v>187</v>
      </c>
      <c r="I1016">
        <v>2.1</v>
      </c>
      <c r="J1016" t="s">
        <v>13</v>
      </c>
    </row>
    <row r="1017" spans="1:10" x14ac:dyDescent="0.25">
      <c r="A1017" s="1">
        <v>1098</v>
      </c>
      <c r="B1017" s="2">
        <v>42727.38958333333</v>
      </c>
      <c r="C1017" s="2" t="str">
        <f t="shared" si="17"/>
        <v>12</v>
      </c>
      <c r="D1017" s="2">
        <v>42727.40347222222</v>
      </c>
      <c r="E1017" s="2" t="str">
        <f t="shared" si="17"/>
        <v>12</v>
      </c>
      <c r="F1017" t="s">
        <v>7</v>
      </c>
      <c r="G1017" t="s">
        <v>187</v>
      </c>
      <c r="H1017" t="s">
        <v>187</v>
      </c>
      <c r="I1017">
        <v>3</v>
      </c>
      <c r="J1017" t="s">
        <v>11</v>
      </c>
    </row>
    <row r="1018" spans="1:10" x14ac:dyDescent="0.25">
      <c r="A1018" s="1">
        <v>1099</v>
      </c>
      <c r="B1018" s="2">
        <v>42727.481249999997</v>
      </c>
      <c r="C1018" s="2" t="str">
        <f t="shared" si="17"/>
        <v>12</v>
      </c>
      <c r="D1018" s="2">
        <v>42727.498611111107</v>
      </c>
      <c r="E1018" s="2" t="str">
        <f t="shared" si="17"/>
        <v>12</v>
      </c>
      <c r="F1018" t="s">
        <v>7</v>
      </c>
      <c r="G1018" t="s">
        <v>187</v>
      </c>
      <c r="H1018" t="s">
        <v>65</v>
      </c>
      <c r="I1018">
        <v>6.2</v>
      </c>
      <c r="J1018" t="s">
        <v>11</v>
      </c>
    </row>
    <row r="1019" spans="1:10" x14ac:dyDescent="0.25">
      <c r="A1019" s="1">
        <v>1102</v>
      </c>
      <c r="B1019" s="2">
        <v>42727.731944444437</v>
      </c>
      <c r="C1019" s="2" t="str">
        <f t="shared" si="17"/>
        <v>12</v>
      </c>
      <c r="D1019" s="2">
        <v>42727.768750000003</v>
      </c>
      <c r="E1019" s="2" t="str">
        <f t="shared" si="17"/>
        <v>12</v>
      </c>
      <c r="F1019" t="s">
        <v>7</v>
      </c>
      <c r="G1019" t="s">
        <v>65</v>
      </c>
      <c r="H1019" t="s">
        <v>187</v>
      </c>
      <c r="I1019">
        <v>7.1</v>
      </c>
      <c r="J1019" t="s">
        <v>9</v>
      </c>
    </row>
    <row r="1020" spans="1:10" x14ac:dyDescent="0.25">
      <c r="A1020" s="1">
        <v>1103</v>
      </c>
      <c r="B1020" s="2">
        <v>42728.321527777778</v>
      </c>
      <c r="C1020" s="2" t="str">
        <f t="shared" si="17"/>
        <v>12</v>
      </c>
      <c r="D1020" s="2">
        <v>42728.336111111108</v>
      </c>
      <c r="E1020" s="2" t="str">
        <f t="shared" si="17"/>
        <v>12</v>
      </c>
      <c r="F1020" t="s">
        <v>7</v>
      </c>
      <c r="G1020" t="s">
        <v>187</v>
      </c>
      <c r="H1020" t="s">
        <v>65</v>
      </c>
      <c r="I1020">
        <v>6.3</v>
      </c>
      <c r="J1020" t="s">
        <v>9</v>
      </c>
    </row>
    <row r="1021" spans="1:10" x14ac:dyDescent="0.25">
      <c r="A1021" s="1">
        <v>1104</v>
      </c>
      <c r="B1021" s="2">
        <v>42728.388194444437</v>
      </c>
      <c r="C1021" s="2" t="str">
        <f t="shared" si="17"/>
        <v>12</v>
      </c>
      <c r="D1021" s="2">
        <v>42728.413194444453</v>
      </c>
      <c r="E1021" s="2" t="str">
        <f t="shared" si="17"/>
        <v>12</v>
      </c>
      <c r="F1021" t="s">
        <v>7</v>
      </c>
      <c r="G1021" t="s">
        <v>65</v>
      </c>
      <c r="H1021" t="s">
        <v>187</v>
      </c>
      <c r="I1021">
        <v>10.7</v>
      </c>
      <c r="J1021" t="s">
        <v>9</v>
      </c>
    </row>
    <row r="1022" spans="1:10" x14ac:dyDescent="0.25">
      <c r="A1022" s="1">
        <v>1105</v>
      </c>
      <c r="B1022" s="2">
        <v>42728.44027777778</v>
      </c>
      <c r="C1022" s="2" t="str">
        <f t="shared" si="17"/>
        <v>12</v>
      </c>
      <c r="D1022" s="2">
        <v>42728.453472222223</v>
      </c>
      <c r="E1022" s="2" t="str">
        <f t="shared" si="17"/>
        <v>12</v>
      </c>
      <c r="F1022" t="s">
        <v>7</v>
      </c>
      <c r="G1022" t="s">
        <v>187</v>
      </c>
      <c r="H1022" t="s">
        <v>187</v>
      </c>
      <c r="I1022">
        <v>5.3</v>
      </c>
      <c r="J1022" t="s">
        <v>9</v>
      </c>
    </row>
    <row r="1023" spans="1:10" x14ac:dyDescent="0.25">
      <c r="A1023" s="1">
        <v>1106</v>
      </c>
      <c r="B1023" s="2">
        <v>42728.535416666673</v>
      </c>
      <c r="C1023" s="2" t="str">
        <f t="shared" si="17"/>
        <v>12</v>
      </c>
      <c r="D1023" s="2">
        <v>42728.536805555559</v>
      </c>
      <c r="E1023" s="2" t="str">
        <f t="shared" si="17"/>
        <v>12</v>
      </c>
      <c r="F1023" t="s">
        <v>7</v>
      </c>
      <c r="G1023" t="s">
        <v>187</v>
      </c>
      <c r="H1023" t="s">
        <v>187</v>
      </c>
      <c r="I1023">
        <v>1.6</v>
      </c>
      <c r="J1023" t="s">
        <v>10</v>
      </c>
    </row>
    <row r="1024" spans="1:10" x14ac:dyDescent="0.25">
      <c r="A1024" s="1">
        <v>1107</v>
      </c>
      <c r="B1024" s="2">
        <v>42728.547222222223</v>
      </c>
      <c r="C1024" s="2" t="str">
        <f t="shared" si="17"/>
        <v>12</v>
      </c>
      <c r="D1024" s="2">
        <v>42728.561805555553</v>
      </c>
      <c r="E1024" s="2" t="str">
        <f t="shared" si="17"/>
        <v>12</v>
      </c>
      <c r="F1024" t="s">
        <v>7</v>
      </c>
      <c r="G1024" t="s">
        <v>187</v>
      </c>
      <c r="H1024" t="s">
        <v>187</v>
      </c>
      <c r="I1024">
        <v>3.6</v>
      </c>
      <c r="J1024" t="s">
        <v>10</v>
      </c>
    </row>
    <row r="1025" spans="1:10" x14ac:dyDescent="0.25">
      <c r="A1025" s="1">
        <v>1108</v>
      </c>
      <c r="B1025" s="2">
        <v>42728.716666666667</v>
      </c>
      <c r="C1025" s="2" t="str">
        <f t="shared" si="17"/>
        <v>12</v>
      </c>
      <c r="D1025" s="2">
        <v>42728.727083333331</v>
      </c>
      <c r="E1025" s="2" t="str">
        <f t="shared" si="17"/>
        <v>12</v>
      </c>
      <c r="F1025" t="s">
        <v>7</v>
      </c>
      <c r="G1025" t="s">
        <v>187</v>
      </c>
      <c r="H1025" t="s">
        <v>187</v>
      </c>
      <c r="I1025">
        <v>1.7</v>
      </c>
      <c r="J1025" t="s">
        <v>10</v>
      </c>
    </row>
    <row r="1026" spans="1:10" x14ac:dyDescent="0.25">
      <c r="A1026" s="1">
        <v>1109</v>
      </c>
      <c r="B1026" s="2">
        <v>42728.800000000003</v>
      </c>
      <c r="C1026" s="2" t="str">
        <f t="shared" si="17"/>
        <v>12</v>
      </c>
      <c r="D1026" s="2">
        <v>42728.810416666667</v>
      </c>
      <c r="E1026" s="2" t="str">
        <f t="shared" si="17"/>
        <v>12</v>
      </c>
      <c r="F1026" t="s">
        <v>7</v>
      </c>
      <c r="G1026" t="s">
        <v>187</v>
      </c>
      <c r="H1026" t="s">
        <v>187</v>
      </c>
      <c r="I1026">
        <v>2.9</v>
      </c>
      <c r="J1026" t="s">
        <v>9</v>
      </c>
    </row>
    <row r="1027" spans="1:10" x14ac:dyDescent="0.25">
      <c r="A1027" s="1">
        <v>1110</v>
      </c>
      <c r="B1027" s="2">
        <v>42728.919444444437</v>
      </c>
      <c r="C1027" s="2" t="str">
        <f t="shared" ref="C1027:E1070" si="18" xml:space="preserve"> TEXT(B1027, "mm")</f>
        <v>12</v>
      </c>
      <c r="D1027" s="2">
        <v>42728.92291666667</v>
      </c>
      <c r="E1027" s="2" t="str">
        <f t="shared" si="18"/>
        <v>12</v>
      </c>
      <c r="F1027" t="s">
        <v>7</v>
      </c>
      <c r="G1027" t="s">
        <v>187</v>
      </c>
      <c r="H1027" t="s">
        <v>187</v>
      </c>
      <c r="I1027">
        <v>0.6</v>
      </c>
      <c r="J1027" t="s">
        <v>10</v>
      </c>
    </row>
    <row r="1028" spans="1:10" x14ac:dyDescent="0.25">
      <c r="A1028" s="1">
        <v>1111</v>
      </c>
      <c r="B1028" s="2">
        <v>42729.006944444453</v>
      </c>
      <c r="C1028" s="2" t="str">
        <f t="shared" si="18"/>
        <v>12</v>
      </c>
      <c r="D1028" s="2">
        <v>42729.009722222218</v>
      </c>
      <c r="E1028" s="2" t="str">
        <f t="shared" si="18"/>
        <v>12</v>
      </c>
      <c r="F1028" t="s">
        <v>7</v>
      </c>
      <c r="G1028" t="s">
        <v>187</v>
      </c>
      <c r="H1028" t="s">
        <v>187</v>
      </c>
      <c r="I1028">
        <v>0.6</v>
      </c>
      <c r="J1028" t="s">
        <v>10</v>
      </c>
    </row>
    <row r="1029" spans="1:10" x14ac:dyDescent="0.25">
      <c r="A1029" s="1">
        <v>1112</v>
      </c>
      <c r="B1029" s="2">
        <v>42729.802083333343</v>
      </c>
      <c r="C1029" s="2" t="str">
        <f t="shared" si="18"/>
        <v>12</v>
      </c>
      <c r="D1029" s="2">
        <v>42729.80972222222</v>
      </c>
      <c r="E1029" s="2" t="str">
        <f t="shared" si="18"/>
        <v>12</v>
      </c>
      <c r="F1029" t="s">
        <v>7</v>
      </c>
      <c r="G1029" t="s">
        <v>187</v>
      </c>
      <c r="H1029" t="s">
        <v>187</v>
      </c>
      <c r="I1029">
        <v>2.2999999999999998</v>
      </c>
      <c r="J1029" t="s">
        <v>9</v>
      </c>
    </row>
    <row r="1030" spans="1:10" x14ac:dyDescent="0.25">
      <c r="A1030" s="1">
        <v>1113</v>
      </c>
      <c r="B1030" s="2">
        <v>42729.915277777778</v>
      </c>
      <c r="C1030" s="2" t="str">
        <f t="shared" si="18"/>
        <v>12</v>
      </c>
      <c r="D1030" s="2">
        <v>42729.919444444437</v>
      </c>
      <c r="E1030" s="2" t="str">
        <f t="shared" si="18"/>
        <v>12</v>
      </c>
      <c r="F1030" t="s">
        <v>7</v>
      </c>
      <c r="G1030" t="s">
        <v>187</v>
      </c>
      <c r="H1030" t="s">
        <v>187</v>
      </c>
      <c r="I1030">
        <v>2.2999999999999998</v>
      </c>
      <c r="J1030" t="s">
        <v>9</v>
      </c>
    </row>
    <row r="1031" spans="1:10" x14ac:dyDescent="0.25">
      <c r="A1031" s="1">
        <v>1114</v>
      </c>
      <c r="B1031" s="2">
        <v>42730.354166666657</v>
      </c>
      <c r="C1031" s="2" t="str">
        <f t="shared" si="18"/>
        <v>12</v>
      </c>
      <c r="D1031" s="2">
        <v>42730.361805555563</v>
      </c>
      <c r="E1031" s="2" t="str">
        <f t="shared" si="18"/>
        <v>12</v>
      </c>
      <c r="F1031" t="s">
        <v>7</v>
      </c>
      <c r="G1031" t="s">
        <v>187</v>
      </c>
      <c r="H1031" t="s">
        <v>187</v>
      </c>
      <c r="I1031">
        <v>3.2</v>
      </c>
      <c r="J1031" t="s">
        <v>9</v>
      </c>
    </row>
    <row r="1032" spans="1:10" x14ac:dyDescent="0.25">
      <c r="A1032" s="1">
        <v>1115</v>
      </c>
      <c r="B1032" s="2">
        <v>42730.378472222219</v>
      </c>
      <c r="C1032" s="2" t="str">
        <f t="shared" si="18"/>
        <v>12</v>
      </c>
      <c r="D1032" s="2">
        <v>42730.388194444437</v>
      </c>
      <c r="E1032" s="2" t="str">
        <f t="shared" si="18"/>
        <v>12</v>
      </c>
      <c r="F1032" t="s">
        <v>7</v>
      </c>
      <c r="G1032" t="s">
        <v>187</v>
      </c>
      <c r="H1032" t="s">
        <v>187</v>
      </c>
      <c r="I1032">
        <v>6.2</v>
      </c>
      <c r="J1032" t="s">
        <v>13</v>
      </c>
    </row>
    <row r="1033" spans="1:10" x14ac:dyDescent="0.25">
      <c r="A1033" s="1">
        <v>1116</v>
      </c>
      <c r="B1033" s="2">
        <v>42730.427083333343</v>
      </c>
      <c r="C1033" s="2" t="str">
        <f t="shared" si="18"/>
        <v>12</v>
      </c>
      <c r="D1033" s="2">
        <v>42730.441666666673</v>
      </c>
      <c r="E1033" s="2" t="str">
        <f t="shared" si="18"/>
        <v>12</v>
      </c>
      <c r="F1033" t="s">
        <v>7</v>
      </c>
      <c r="G1033" t="s">
        <v>187</v>
      </c>
      <c r="H1033" t="s">
        <v>187</v>
      </c>
      <c r="I1033">
        <v>7.7</v>
      </c>
      <c r="J1033" t="s">
        <v>13</v>
      </c>
    </row>
    <row r="1034" spans="1:10" x14ac:dyDescent="0.25">
      <c r="A1034" s="1">
        <v>1117</v>
      </c>
      <c r="B1034" s="2">
        <v>42730.478472222218</v>
      </c>
      <c r="C1034" s="2" t="str">
        <f t="shared" si="18"/>
        <v>12</v>
      </c>
      <c r="D1034" s="2">
        <v>42730.487500000003</v>
      </c>
      <c r="E1034" s="2" t="str">
        <f t="shared" si="18"/>
        <v>12</v>
      </c>
      <c r="F1034" t="s">
        <v>7</v>
      </c>
      <c r="G1034" t="s">
        <v>187</v>
      </c>
      <c r="H1034" t="s">
        <v>187</v>
      </c>
      <c r="I1034">
        <v>3.8</v>
      </c>
      <c r="J1034" t="s">
        <v>13</v>
      </c>
    </row>
    <row r="1035" spans="1:10" x14ac:dyDescent="0.25">
      <c r="A1035" s="1">
        <v>1118</v>
      </c>
      <c r="B1035" s="2">
        <v>42730.54791666667</v>
      </c>
      <c r="C1035" s="2" t="str">
        <f t="shared" si="18"/>
        <v>12</v>
      </c>
      <c r="D1035" s="2">
        <v>42730.571527777778</v>
      </c>
      <c r="E1035" s="2" t="str">
        <f t="shared" si="18"/>
        <v>12</v>
      </c>
      <c r="F1035" t="s">
        <v>7</v>
      </c>
      <c r="G1035" t="s">
        <v>187</v>
      </c>
      <c r="H1035" t="s">
        <v>65</v>
      </c>
      <c r="I1035">
        <v>7.9</v>
      </c>
      <c r="J1035" t="s">
        <v>11</v>
      </c>
    </row>
    <row r="1036" spans="1:10" x14ac:dyDescent="0.25">
      <c r="A1036" s="1">
        <v>1119</v>
      </c>
      <c r="B1036" s="2">
        <v>42731.293055555558</v>
      </c>
      <c r="C1036" s="2" t="str">
        <f t="shared" si="18"/>
        <v>12</v>
      </c>
      <c r="D1036" s="2">
        <v>42731.301388888889</v>
      </c>
      <c r="E1036" s="2" t="str">
        <f t="shared" si="18"/>
        <v>12</v>
      </c>
      <c r="F1036" t="s">
        <v>7</v>
      </c>
      <c r="G1036" t="s">
        <v>223</v>
      </c>
      <c r="H1036" t="s">
        <v>223</v>
      </c>
      <c r="I1036">
        <v>4.9000000000000004</v>
      </c>
      <c r="J1036" t="s">
        <v>24</v>
      </c>
    </row>
    <row r="1037" spans="1:10" x14ac:dyDescent="0.25">
      <c r="A1037" s="1">
        <v>1120</v>
      </c>
      <c r="B1037" s="2">
        <v>42731.359027777777</v>
      </c>
      <c r="C1037" s="2" t="str">
        <f t="shared" si="18"/>
        <v>12</v>
      </c>
      <c r="D1037" s="2">
        <v>42731.374305555553</v>
      </c>
      <c r="E1037" s="2" t="str">
        <f t="shared" si="18"/>
        <v>12</v>
      </c>
      <c r="F1037" t="s">
        <v>7</v>
      </c>
      <c r="G1037" t="s">
        <v>223</v>
      </c>
      <c r="H1037" t="s">
        <v>223</v>
      </c>
      <c r="I1037">
        <v>5</v>
      </c>
      <c r="J1037" t="s">
        <v>9</v>
      </c>
    </row>
    <row r="1038" spans="1:10" x14ac:dyDescent="0.25">
      <c r="A1038" s="1">
        <v>1121</v>
      </c>
      <c r="B1038" s="2">
        <v>42731.536805555559</v>
      </c>
      <c r="C1038" s="2" t="str">
        <f t="shared" si="18"/>
        <v>12</v>
      </c>
      <c r="D1038" s="2">
        <v>42731.539583333331</v>
      </c>
      <c r="E1038" s="2" t="str">
        <f t="shared" si="18"/>
        <v>12</v>
      </c>
      <c r="F1038" t="s">
        <v>7</v>
      </c>
      <c r="G1038" t="s">
        <v>223</v>
      </c>
      <c r="H1038" t="s">
        <v>223</v>
      </c>
      <c r="I1038">
        <v>0.6</v>
      </c>
      <c r="J1038" t="s">
        <v>9</v>
      </c>
    </row>
    <row r="1039" spans="1:10" x14ac:dyDescent="0.25">
      <c r="A1039" s="1">
        <v>1122</v>
      </c>
      <c r="B1039" s="2">
        <v>42731.617361111108</v>
      </c>
      <c r="C1039" s="2" t="str">
        <f t="shared" si="18"/>
        <v>12</v>
      </c>
      <c r="D1039" s="2">
        <v>42731.627083333333</v>
      </c>
      <c r="E1039" s="2" t="str">
        <f t="shared" si="18"/>
        <v>12</v>
      </c>
      <c r="F1039" t="s">
        <v>7</v>
      </c>
      <c r="G1039" t="s">
        <v>223</v>
      </c>
      <c r="H1039" t="s">
        <v>65</v>
      </c>
      <c r="I1039">
        <v>3.1</v>
      </c>
      <c r="J1039" t="s">
        <v>13</v>
      </c>
    </row>
    <row r="1040" spans="1:10" x14ac:dyDescent="0.25">
      <c r="A1040" s="1">
        <v>1123</v>
      </c>
      <c r="B1040" s="2">
        <v>42731.69027777778</v>
      </c>
      <c r="C1040" s="2" t="str">
        <f t="shared" si="18"/>
        <v>12</v>
      </c>
      <c r="D1040" s="2">
        <v>42731.706944444442</v>
      </c>
      <c r="E1040" s="2" t="str">
        <f t="shared" si="18"/>
        <v>12</v>
      </c>
      <c r="F1040" t="s">
        <v>7</v>
      </c>
      <c r="G1040" t="s">
        <v>65</v>
      </c>
      <c r="H1040" t="s">
        <v>223</v>
      </c>
      <c r="I1040">
        <v>7.9</v>
      </c>
      <c r="J1040" t="s">
        <v>11</v>
      </c>
    </row>
    <row r="1041" spans="1:10" x14ac:dyDescent="0.25">
      <c r="A1041" s="1">
        <v>1124</v>
      </c>
      <c r="B1041" s="2">
        <v>42731.804861111108</v>
      </c>
      <c r="C1041" s="2" t="str">
        <f t="shared" si="18"/>
        <v>12</v>
      </c>
      <c r="D1041" s="2">
        <v>42731.826388888891</v>
      </c>
      <c r="E1041" s="2" t="str">
        <f t="shared" si="18"/>
        <v>12</v>
      </c>
      <c r="F1041" t="s">
        <v>7</v>
      </c>
      <c r="G1041" t="s">
        <v>223</v>
      </c>
      <c r="H1041" t="s">
        <v>223</v>
      </c>
      <c r="I1041">
        <v>5.5</v>
      </c>
      <c r="J1041" t="s">
        <v>13</v>
      </c>
    </row>
    <row r="1042" spans="1:10" x14ac:dyDescent="0.25">
      <c r="A1042" s="1">
        <v>1125</v>
      </c>
      <c r="B1042" s="2">
        <v>42732.356944444437</v>
      </c>
      <c r="C1042" s="2" t="str">
        <f t="shared" si="18"/>
        <v>12</v>
      </c>
      <c r="D1042" s="2">
        <v>42732.379166666673</v>
      </c>
      <c r="E1042" s="2" t="str">
        <f t="shared" si="18"/>
        <v>12</v>
      </c>
      <c r="F1042" t="s">
        <v>7</v>
      </c>
      <c r="G1042" t="s">
        <v>223</v>
      </c>
      <c r="H1042" t="s">
        <v>65</v>
      </c>
      <c r="I1042">
        <v>10.3</v>
      </c>
      <c r="J1042" t="s">
        <v>9</v>
      </c>
    </row>
    <row r="1043" spans="1:10" x14ac:dyDescent="0.25">
      <c r="A1043" s="1">
        <v>1126</v>
      </c>
      <c r="B1043" s="2">
        <v>42732.487500000003</v>
      </c>
      <c r="C1043" s="2" t="str">
        <f t="shared" si="18"/>
        <v>12</v>
      </c>
      <c r="D1043" s="2">
        <v>42732.508333333331</v>
      </c>
      <c r="E1043" s="2" t="str">
        <f t="shared" si="18"/>
        <v>12</v>
      </c>
      <c r="F1043" t="s">
        <v>7</v>
      </c>
      <c r="G1043" t="s">
        <v>65</v>
      </c>
      <c r="H1043" t="s">
        <v>223</v>
      </c>
      <c r="I1043">
        <v>10.4</v>
      </c>
      <c r="J1043" t="s">
        <v>10</v>
      </c>
    </row>
    <row r="1044" spans="1:10" x14ac:dyDescent="0.25">
      <c r="A1044" s="1">
        <v>1127</v>
      </c>
      <c r="B1044" s="2">
        <v>42732.578472222223</v>
      </c>
      <c r="C1044" s="2" t="str">
        <f t="shared" si="18"/>
        <v>12</v>
      </c>
      <c r="D1044" s="2">
        <v>42732.584027777782</v>
      </c>
      <c r="E1044" s="2" t="str">
        <f t="shared" si="18"/>
        <v>12</v>
      </c>
      <c r="F1044" t="s">
        <v>7</v>
      </c>
      <c r="G1044" t="s">
        <v>223</v>
      </c>
      <c r="H1044" t="s">
        <v>223</v>
      </c>
      <c r="I1044">
        <v>2</v>
      </c>
      <c r="J1044" t="s">
        <v>10</v>
      </c>
    </row>
    <row r="1045" spans="1:10" x14ac:dyDescent="0.25">
      <c r="A1045" s="1">
        <v>1128</v>
      </c>
      <c r="B1045" s="2">
        <v>42732.62777777778</v>
      </c>
      <c r="C1045" s="2" t="str">
        <f t="shared" si="18"/>
        <v>12</v>
      </c>
      <c r="D1045" s="2">
        <v>42732.652083333327</v>
      </c>
      <c r="E1045" s="2" t="str">
        <f t="shared" si="18"/>
        <v>12</v>
      </c>
      <c r="F1045" t="s">
        <v>7</v>
      </c>
      <c r="G1045" t="s">
        <v>223</v>
      </c>
      <c r="H1045" t="s">
        <v>65</v>
      </c>
      <c r="I1045">
        <v>8.5</v>
      </c>
      <c r="J1045" t="s">
        <v>9</v>
      </c>
    </row>
    <row r="1046" spans="1:10" x14ac:dyDescent="0.25">
      <c r="A1046" s="1">
        <v>1129</v>
      </c>
      <c r="B1046" s="2">
        <v>42732.709722222222</v>
      </c>
      <c r="C1046" s="2" t="str">
        <f t="shared" si="18"/>
        <v>12</v>
      </c>
      <c r="D1046" s="2">
        <v>42732.719444444447</v>
      </c>
      <c r="E1046" s="2" t="str">
        <f t="shared" si="18"/>
        <v>12</v>
      </c>
      <c r="F1046" t="s">
        <v>7</v>
      </c>
      <c r="G1046" t="s">
        <v>65</v>
      </c>
      <c r="H1046" t="s">
        <v>223</v>
      </c>
      <c r="I1046">
        <v>4.4000000000000004</v>
      </c>
      <c r="J1046" t="s">
        <v>10</v>
      </c>
    </row>
    <row r="1047" spans="1:10" x14ac:dyDescent="0.25">
      <c r="A1047" s="1">
        <v>1130</v>
      </c>
      <c r="B1047" s="2">
        <v>42732.772916666669</v>
      </c>
      <c r="C1047" s="2" t="str">
        <f t="shared" si="18"/>
        <v>12</v>
      </c>
      <c r="D1047" s="2">
        <v>42732.788888888892</v>
      </c>
      <c r="E1047" s="2" t="str">
        <f t="shared" si="18"/>
        <v>12</v>
      </c>
      <c r="F1047" t="s">
        <v>7</v>
      </c>
      <c r="G1047" t="s">
        <v>223</v>
      </c>
      <c r="H1047" t="s">
        <v>223</v>
      </c>
      <c r="I1047">
        <v>3.8</v>
      </c>
      <c r="J1047" t="s">
        <v>10</v>
      </c>
    </row>
    <row r="1048" spans="1:10" x14ac:dyDescent="0.25">
      <c r="A1048" s="1">
        <v>1131</v>
      </c>
      <c r="B1048" s="2">
        <v>42732.947222222218</v>
      </c>
      <c r="C1048" s="2" t="str">
        <f t="shared" si="18"/>
        <v>12</v>
      </c>
      <c r="D1048" s="2">
        <v>42732.970833333333</v>
      </c>
      <c r="E1048" s="2" t="str">
        <f t="shared" si="18"/>
        <v>12</v>
      </c>
      <c r="F1048" t="s">
        <v>7</v>
      </c>
      <c r="G1048" t="s">
        <v>223</v>
      </c>
      <c r="H1048" t="s">
        <v>223</v>
      </c>
      <c r="I1048">
        <v>5.0999999999999996</v>
      </c>
      <c r="J1048" t="s">
        <v>10</v>
      </c>
    </row>
    <row r="1049" spans="1:10" x14ac:dyDescent="0.25">
      <c r="A1049" s="1">
        <v>1132</v>
      </c>
      <c r="B1049" s="2">
        <v>42733.03402777778</v>
      </c>
      <c r="C1049" s="2" t="str">
        <f t="shared" si="18"/>
        <v>12</v>
      </c>
      <c r="D1049" s="2">
        <v>42733.04583333333</v>
      </c>
      <c r="E1049" s="2" t="str">
        <f t="shared" si="18"/>
        <v>12</v>
      </c>
      <c r="F1049" t="s">
        <v>7</v>
      </c>
      <c r="G1049" t="s">
        <v>223</v>
      </c>
      <c r="H1049" t="s">
        <v>223</v>
      </c>
      <c r="I1049">
        <v>3.8</v>
      </c>
      <c r="J1049" t="s">
        <v>10</v>
      </c>
    </row>
    <row r="1050" spans="1:10" x14ac:dyDescent="0.25">
      <c r="A1050" s="1">
        <v>1133</v>
      </c>
      <c r="B1050" s="2">
        <v>42733.405555555553</v>
      </c>
      <c r="C1050" s="2" t="str">
        <f t="shared" si="18"/>
        <v>12</v>
      </c>
      <c r="D1050" s="2">
        <v>42733.421527777777</v>
      </c>
      <c r="E1050" s="2" t="str">
        <f t="shared" si="18"/>
        <v>12</v>
      </c>
      <c r="F1050" t="s">
        <v>7</v>
      </c>
      <c r="G1050" t="s">
        <v>223</v>
      </c>
      <c r="H1050" t="s">
        <v>65</v>
      </c>
      <c r="I1050">
        <v>11.6</v>
      </c>
      <c r="J1050" t="s">
        <v>9</v>
      </c>
    </row>
    <row r="1051" spans="1:10" x14ac:dyDescent="0.25">
      <c r="A1051" s="1">
        <v>1134</v>
      </c>
      <c r="B1051" s="2">
        <v>42733.477777777778</v>
      </c>
      <c r="C1051" s="2" t="str">
        <f t="shared" si="18"/>
        <v>12</v>
      </c>
      <c r="D1051" s="2">
        <v>42733.5</v>
      </c>
      <c r="E1051" s="2" t="str">
        <f t="shared" si="18"/>
        <v>12</v>
      </c>
      <c r="F1051" t="s">
        <v>7</v>
      </c>
      <c r="G1051" t="s">
        <v>65</v>
      </c>
      <c r="H1051" t="s">
        <v>223</v>
      </c>
      <c r="I1051">
        <v>11.9</v>
      </c>
      <c r="J1051" t="s">
        <v>9</v>
      </c>
    </row>
    <row r="1052" spans="1:10" x14ac:dyDescent="0.25">
      <c r="A1052" s="1">
        <v>1135</v>
      </c>
      <c r="B1052" s="2">
        <v>42733.517361111109</v>
      </c>
      <c r="C1052" s="2" t="str">
        <f t="shared" si="18"/>
        <v>12</v>
      </c>
      <c r="D1052" s="2">
        <v>42733.522916666669</v>
      </c>
      <c r="E1052" s="2" t="str">
        <f t="shared" si="18"/>
        <v>12</v>
      </c>
      <c r="F1052" t="s">
        <v>7</v>
      </c>
      <c r="G1052" t="s">
        <v>223</v>
      </c>
      <c r="H1052" t="s">
        <v>223</v>
      </c>
      <c r="I1052">
        <v>1.4</v>
      </c>
      <c r="J1052" t="s">
        <v>10</v>
      </c>
    </row>
    <row r="1053" spans="1:10" x14ac:dyDescent="0.25">
      <c r="A1053" s="1">
        <v>1136</v>
      </c>
      <c r="B1053" s="2">
        <v>42733.553472222222</v>
      </c>
      <c r="C1053" s="2" t="str">
        <f t="shared" si="18"/>
        <v>12</v>
      </c>
      <c r="D1053" s="2">
        <v>42733.558333333327</v>
      </c>
      <c r="E1053" s="2" t="str">
        <f t="shared" si="18"/>
        <v>12</v>
      </c>
      <c r="F1053" t="s">
        <v>7</v>
      </c>
      <c r="G1053" t="s">
        <v>223</v>
      </c>
      <c r="H1053" t="s">
        <v>223</v>
      </c>
      <c r="I1053">
        <v>1.1000000000000001</v>
      </c>
      <c r="J1053" t="s">
        <v>10</v>
      </c>
    </row>
    <row r="1054" spans="1:10" x14ac:dyDescent="0.25">
      <c r="A1054" s="1">
        <v>1137</v>
      </c>
      <c r="B1054" s="2">
        <v>42733.580555555563</v>
      </c>
      <c r="C1054" s="2" t="str">
        <f t="shared" si="18"/>
        <v>12</v>
      </c>
      <c r="D1054" s="2">
        <v>42733.59097222222</v>
      </c>
      <c r="E1054" s="2" t="str">
        <f t="shared" si="18"/>
        <v>12</v>
      </c>
      <c r="F1054" t="s">
        <v>7</v>
      </c>
      <c r="G1054" t="s">
        <v>223</v>
      </c>
      <c r="H1054" t="s">
        <v>223</v>
      </c>
      <c r="I1054">
        <v>4.0999999999999996</v>
      </c>
      <c r="J1054" t="s">
        <v>224</v>
      </c>
    </row>
    <row r="1055" spans="1:10" x14ac:dyDescent="0.25">
      <c r="A1055" s="1">
        <v>1138</v>
      </c>
      <c r="B1055" s="2">
        <v>42733.612500000003</v>
      </c>
      <c r="C1055" s="2" t="str">
        <f t="shared" si="18"/>
        <v>12</v>
      </c>
      <c r="D1055" s="2">
        <v>42733.623611111107</v>
      </c>
      <c r="E1055" s="2" t="str">
        <f t="shared" si="18"/>
        <v>12</v>
      </c>
      <c r="F1055" t="s">
        <v>7</v>
      </c>
      <c r="G1055" t="s">
        <v>223</v>
      </c>
      <c r="H1055" t="s">
        <v>223</v>
      </c>
      <c r="I1055">
        <v>6.1</v>
      </c>
      <c r="J1055" t="s">
        <v>53</v>
      </c>
    </row>
    <row r="1056" spans="1:10" x14ac:dyDescent="0.25">
      <c r="A1056" s="1">
        <v>1139</v>
      </c>
      <c r="B1056" s="2">
        <v>42733.628472222219</v>
      </c>
      <c r="C1056" s="2" t="str">
        <f t="shared" si="18"/>
        <v>12</v>
      </c>
      <c r="D1056" s="2">
        <v>42733.636111111111</v>
      </c>
      <c r="E1056" s="2" t="str">
        <f t="shared" si="18"/>
        <v>12</v>
      </c>
      <c r="F1056" t="s">
        <v>7</v>
      </c>
      <c r="G1056" t="s">
        <v>223</v>
      </c>
      <c r="H1056" t="s">
        <v>223</v>
      </c>
      <c r="I1056">
        <v>1.3</v>
      </c>
      <c r="J1056" t="s">
        <v>10</v>
      </c>
    </row>
    <row r="1057" spans="1:10" x14ac:dyDescent="0.25">
      <c r="A1057" s="1">
        <v>1140</v>
      </c>
      <c r="B1057" s="2">
        <v>42733.790972222218</v>
      </c>
      <c r="C1057" s="2" t="str">
        <f t="shared" si="18"/>
        <v>12</v>
      </c>
      <c r="D1057" s="2">
        <v>42733.801388888889</v>
      </c>
      <c r="E1057" s="2" t="str">
        <f t="shared" si="18"/>
        <v>12</v>
      </c>
      <c r="F1057" t="s">
        <v>7</v>
      </c>
      <c r="G1057" t="s">
        <v>223</v>
      </c>
      <c r="H1057" t="s">
        <v>65</v>
      </c>
      <c r="I1057">
        <v>3</v>
      </c>
      <c r="J1057" t="s">
        <v>9</v>
      </c>
    </row>
    <row r="1058" spans="1:10" x14ac:dyDescent="0.25">
      <c r="A1058" s="1">
        <v>1141</v>
      </c>
      <c r="B1058" s="2">
        <v>42733.826388888891</v>
      </c>
      <c r="C1058" s="2" t="str">
        <f t="shared" si="18"/>
        <v>12</v>
      </c>
      <c r="D1058" s="2">
        <v>42733.840277777781</v>
      </c>
      <c r="E1058" s="2" t="str">
        <f t="shared" si="18"/>
        <v>12</v>
      </c>
      <c r="F1058" t="s">
        <v>7</v>
      </c>
      <c r="G1058" t="s">
        <v>65</v>
      </c>
      <c r="H1058" t="s">
        <v>223</v>
      </c>
      <c r="I1058">
        <v>4.0999999999999996</v>
      </c>
      <c r="J1058" t="s">
        <v>13</v>
      </c>
    </row>
    <row r="1059" spans="1:10" x14ac:dyDescent="0.25">
      <c r="A1059" s="1">
        <v>1142</v>
      </c>
      <c r="B1059" s="2">
        <v>42733.84375</v>
      </c>
      <c r="C1059" s="2" t="str">
        <f t="shared" si="18"/>
        <v>12</v>
      </c>
      <c r="D1059" s="2">
        <v>42733.864583333343</v>
      </c>
      <c r="E1059" s="2" t="str">
        <f t="shared" si="18"/>
        <v>12</v>
      </c>
      <c r="F1059" t="s">
        <v>7</v>
      </c>
      <c r="G1059" t="s">
        <v>223</v>
      </c>
      <c r="H1059" t="s">
        <v>223</v>
      </c>
      <c r="I1059">
        <v>7.2</v>
      </c>
      <c r="J1059" t="s">
        <v>11</v>
      </c>
    </row>
    <row r="1060" spans="1:10" x14ac:dyDescent="0.25">
      <c r="A1060" s="1">
        <v>1143</v>
      </c>
      <c r="B1060" s="2">
        <v>42733.870138888888</v>
      </c>
      <c r="C1060" s="2" t="str">
        <f t="shared" si="18"/>
        <v>12</v>
      </c>
      <c r="D1060" s="2">
        <v>42733.904166666667</v>
      </c>
      <c r="E1060" s="2" t="str">
        <f t="shared" si="18"/>
        <v>12</v>
      </c>
      <c r="F1060" t="s">
        <v>7</v>
      </c>
      <c r="G1060" t="s">
        <v>223</v>
      </c>
      <c r="H1060" t="s">
        <v>65</v>
      </c>
      <c r="I1060">
        <v>6.4</v>
      </c>
    </row>
    <row r="1061" spans="1:10" x14ac:dyDescent="0.25">
      <c r="A1061" s="1">
        <v>1144</v>
      </c>
      <c r="B1061" s="2">
        <v>42733.968055555553</v>
      </c>
      <c r="C1061" s="2" t="str">
        <f t="shared" si="18"/>
        <v>12</v>
      </c>
      <c r="D1061" s="2">
        <v>42733.990972222222</v>
      </c>
      <c r="E1061" s="2" t="str">
        <f t="shared" si="18"/>
        <v>12</v>
      </c>
      <c r="F1061" t="s">
        <v>7</v>
      </c>
      <c r="G1061" t="s">
        <v>65</v>
      </c>
      <c r="H1061" t="s">
        <v>223</v>
      </c>
      <c r="I1061">
        <v>12.9</v>
      </c>
      <c r="J1061" t="s">
        <v>11</v>
      </c>
    </row>
    <row r="1062" spans="1:10" x14ac:dyDescent="0.25">
      <c r="A1062" s="1">
        <v>1145</v>
      </c>
      <c r="B1062" s="2">
        <v>42734.427083333343</v>
      </c>
      <c r="C1062" s="2" t="str">
        <f t="shared" si="18"/>
        <v>12</v>
      </c>
      <c r="D1062" s="2">
        <v>42734.439583333333</v>
      </c>
      <c r="E1062" s="2" t="str">
        <f t="shared" si="18"/>
        <v>12</v>
      </c>
      <c r="F1062" t="s">
        <v>7</v>
      </c>
      <c r="G1062" t="s">
        <v>223</v>
      </c>
      <c r="H1062" t="s">
        <v>223</v>
      </c>
      <c r="I1062">
        <v>2.8</v>
      </c>
      <c r="J1062" t="s">
        <v>10</v>
      </c>
    </row>
    <row r="1063" spans="1:10" x14ac:dyDescent="0.25">
      <c r="A1063" s="1">
        <v>1146</v>
      </c>
      <c r="B1063" s="2">
        <v>42734.479861111111</v>
      </c>
      <c r="C1063" s="2" t="str">
        <f t="shared" si="18"/>
        <v>12</v>
      </c>
      <c r="D1063" s="2">
        <v>42734.49722222222</v>
      </c>
      <c r="E1063" s="2" t="str">
        <f t="shared" si="18"/>
        <v>12</v>
      </c>
      <c r="F1063" t="s">
        <v>7</v>
      </c>
      <c r="G1063" t="s">
        <v>223</v>
      </c>
      <c r="H1063" t="s">
        <v>223</v>
      </c>
      <c r="I1063">
        <v>2.9</v>
      </c>
      <c r="J1063" t="s">
        <v>10</v>
      </c>
    </row>
    <row r="1064" spans="1:10" x14ac:dyDescent="0.25">
      <c r="A1064" s="1">
        <v>1147</v>
      </c>
      <c r="B1064" s="2">
        <v>42734.65347222222</v>
      </c>
      <c r="C1064" s="2" t="str">
        <f t="shared" si="18"/>
        <v>12</v>
      </c>
      <c r="D1064" s="2">
        <v>42734.668749999997</v>
      </c>
      <c r="E1064" s="2" t="str">
        <f t="shared" si="18"/>
        <v>12</v>
      </c>
      <c r="F1064" t="s">
        <v>7</v>
      </c>
      <c r="G1064" t="s">
        <v>223</v>
      </c>
      <c r="H1064" t="s">
        <v>223</v>
      </c>
      <c r="I1064">
        <v>4.5999999999999996</v>
      </c>
      <c r="J1064" t="s">
        <v>10</v>
      </c>
    </row>
    <row r="1065" spans="1:10" x14ac:dyDescent="0.25">
      <c r="A1065" s="1">
        <v>1148</v>
      </c>
      <c r="B1065" s="2">
        <v>42734.697916666657</v>
      </c>
      <c r="C1065" s="2" t="str">
        <f t="shared" si="18"/>
        <v>12</v>
      </c>
      <c r="D1065" s="2">
        <v>42734.713888888888</v>
      </c>
      <c r="E1065" s="2" t="str">
        <f t="shared" si="18"/>
        <v>12</v>
      </c>
      <c r="F1065" t="s">
        <v>7</v>
      </c>
      <c r="G1065" t="s">
        <v>223</v>
      </c>
      <c r="H1065" t="s">
        <v>223</v>
      </c>
      <c r="I1065">
        <v>4.5999999999999996</v>
      </c>
      <c r="J1065" t="s">
        <v>11</v>
      </c>
    </row>
    <row r="1066" spans="1:10" x14ac:dyDescent="0.25">
      <c r="A1066" s="1">
        <v>1149</v>
      </c>
      <c r="B1066" s="2">
        <v>42734.962500000001</v>
      </c>
      <c r="C1066" s="2" t="str">
        <f t="shared" si="18"/>
        <v>12</v>
      </c>
      <c r="D1066" s="2">
        <v>42734.965277777781</v>
      </c>
      <c r="E1066" s="2" t="str">
        <f t="shared" si="18"/>
        <v>12</v>
      </c>
      <c r="F1066" t="s">
        <v>7</v>
      </c>
      <c r="G1066" t="s">
        <v>223</v>
      </c>
      <c r="H1066" t="s">
        <v>223</v>
      </c>
      <c r="I1066">
        <v>0.8</v>
      </c>
      <c r="J1066" t="s">
        <v>13</v>
      </c>
    </row>
    <row r="1067" spans="1:10" x14ac:dyDescent="0.25">
      <c r="A1067" s="1">
        <v>1150</v>
      </c>
      <c r="B1067" s="2">
        <v>42735.046527777777</v>
      </c>
      <c r="C1067" s="2" t="str">
        <f t="shared" si="18"/>
        <v>12</v>
      </c>
      <c r="D1067" s="2">
        <v>42735.051388888889</v>
      </c>
      <c r="E1067" s="2" t="str">
        <f t="shared" si="18"/>
        <v>12</v>
      </c>
      <c r="F1067" t="s">
        <v>7</v>
      </c>
      <c r="G1067" t="s">
        <v>223</v>
      </c>
      <c r="H1067" t="s">
        <v>223</v>
      </c>
      <c r="I1067">
        <v>0.7</v>
      </c>
      <c r="J1067" t="s">
        <v>11</v>
      </c>
    </row>
    <row r="1068" spans="1:10" x14ac:dyDescent="0.25">
      <c r="A1068" s="1">
        <v>1151</v>
      </c>
      <c r="B1068" s="2">
        <v>42735.558333333327</v>
      </c>
      <c r="C1068" s="2" t="str">
        <f t="shared" si="18"/>
        <v>12</v>
      </c>
      <c r="D1068" s="2">
        <v>42735.570833333331</v>
      </c>
      <c r="E1068" s="2" t="str">
        <f t="shared" si="18"/>
        <v>12</v>
      </c>
      <c r="F1068" t="s">
        <v>7</v>
      </c>
      <c r="G1068" t="s">
        <v>223</v>
      </c>
      <c r="H1068" t="s">
        <v>65</v>
      </c>
      <c r="I1068">
        <v>3.9</v>
      </c>
      <c r="J1068" t="s">
        <v>24</v>
      </c>
    </row>
    <row r="1069" spans="1:10" x14ac:dyDescent="0.25">
      <c r="A1069" s="1">
        <v>1153</v>
      </c>
      <c r="B1069" s="2">
        <v>42735.897222222222</v>
      </c>
      <c r="C1069" s="2" t="str">
        <f t="shared" si="18"/>
        <v>12</v>
      </c>
      <c r="D1069" s="2">
        <v>42735.909722222219</v>
      </c>
      <c r="E1069" s="2" t="str">
        <f t="shared" si="18"/>
        <v>12</v>
      </c>
      <c r="F1069" t="s">
        <v>7</v>
      </c>
      <c r="G1069" t="s">
        <v>225</v>
      </c>
      <c r="H1069" t="s">
        <v>226</v>
      </c>
      <c r="I1069">
        <v>6.4</v>
      </c>
      <c r="J1069" t="s">
        <v>24</v>
      </c>
    </row>
    <row r="1070" spans="1:10" x14ac:dyDescent="0.25">
      <c r="A1070" s="1">
        <v>1154</v>
      </c>
      <c r="B1070" s="2">
        <v>42735.922222222223</v>
      </c>
      <c r="C1070" s="2" t="str">
        <f t="shared" si="18"/>
        <v>12</v>
      </c>
      <c r="D1070" s="2">
        <v>42735.993750000001</v>
      </c>
      <c r="E1070" s="2" t="str">
        <f t="shared" si="18"/>
        <v>12</v>
      </c>
      <c r="F1070" t="s">
        <v>7</v>
      </c>
      <c r="G1070" t="s">
        <v>226</v>
      </c>
      <c r="H1070" t="s">
        <v>227</v>
      </c>
      <c r="I1070">
        <v>48.2</v>
      </c>
      <c r="J1070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MUKHERJEE</cp:lastModifiedBy>
  <dcterms:created xsi:type="dcterms:W3CDTF">2023-01-13T17:54:54Z</dcterms:created>
  <dcterms:modified xsi:type="dcterms:W3CDTF">2023-01-13T19:15:37Z</dcterms:modified>
</cp:coreProperties>
</file>